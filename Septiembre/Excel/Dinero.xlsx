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1AB3519-6884-498E-B4FC-B92D567C84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</calcChain>
</file>

<file path=xl/sharedStrings.xml><?xml version="1.0" encoding="utf-8"?>
<sst xmlns="http://schemas.openxmlformats.org/spreadsheetml/2006/main" count="31" uniqueCount="31">
  <si>
    <t>DINERO</t>
  </si>
  <si>
    <t>VIGENCIA ANUAL</t>
  </si>
  <si>
    <t>21-08-2025 al 20-12-2025 - Plan 300 V032019</t>
  </si>
  <si>
    <t>Derecho de ingreso</t>
  </si>
  <si>
    <t>Cuota comercial del mes</t>
  </si>
  <si>
    <t>Código</t>
  </si>
  <si>
    <t>Descripción</t>
  </si>
  <si>
    <t xml:space="preserve"> Valor Nominal</t>
  </si>
  <si>
    <t>Suscripción</t>
  </si>
  <si>
    <t>Cuota 1 a 7</t>
  </si>
  <si>
    <t>Cuota 8 en adelante</t>
  </si>
  <si>
    <t>VEINTE MILLONES PESOS ($20.000.000,00)</t>
  </si>
  <si>
    <t>VEINTIDOS MILLONES PESOS ($22.000.000,00)</t>
  </si>
  <si>
    <t>VEINTICINCO MILLONES PESOS ($25.000.000,00)</t>
  </si>
  <si>
    <t>VEINTISIETE MILLONES PESOS ($27.000.000,00)</t>
  </si>
  <si>
    <t>TREINTA MILLONES PESOS ($30.000.000,00)</t>
  </si>
  <si>
    <t>TREINTA Y DOS MILLONES PESOS ($32.000.000,00)</t>
  </si>
  <si>
    <t>TREINTA Y CINCO MILLONES PESOS ($35.000.000,00)</t>
  </si>
  <si>
    <t>TREINTA Y SIETE MILLONES PESOS ($37.000.000,00)</t>
  </si>
  <si>
    <t>CUARENTA MILLONES PESOS ($40.000.000,00)</t>
  </si>
  <si>
    <t>CUARENTA Y CINCO MILLONES PESOS ($45.000.000,00)</t>
  </si>
  <si>
    <t>CINCUENTA MILLONES PESOS ($50.000.000,00)</t>
  </si>
  <si>
    <t>SESENTA MILLONES PESOS ($60.000.000,00) (36960)</t>
  </si>
  <si>
    <t>SETENTA MILLONES PESOS ($70.000.000,00) (36963)</t>
  </si>
  <si>
    <t>OCHENTA MILLONES PESOS ($80.000.000,00) (36964)</t>
  </si>
  <si>
    <t>NOVENTA MILLONES PESOS ($90.000.000,00) (36965)</t>
  </si>
  <si>
    <t>CIEN MILLONES PESOS ($100.000.000,00) (36966)</t>
  </si>
  <si>
    <t>* (Cuota 1 a 7) Incluye 9.90% del derecho de ingreso y el 10% autorizado por la IGJN Resolución Nro. 000176/04
* (Suscripción/Cuota 8 en adelante) Incluye 10% autorizado por la IGJN Resolución Nro. 000176/04
(1) En los valores de las cuotas comerciales se adicionará según el artículo 13 del titulo de capitalización los impuestos que pudieran corresponder para cada jurisdicción</t>
  </si>
  <si>
    <t>21/08/2025 06:30:08</t>
  </si>
  <si>
    <t>Página 1 de 1</t>
  </si>
  <si>
    <t>Derecho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</si>
</sst>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0"/>
  </numFmts>
  <fonts count="8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4"/>
      <color rgb="FFFFFFFF"/>
      <name val="Arial"/>
      <family val="2"/>
    </font>
    <font>
      <b/>
      <sz val="9"/>
      <color rgb="FF006F53"/>
      <name val="Arial"/>
      <family val="2"/>
    </font>
    <font>
      <sz val="9"/>
      <color rgb="FF006F53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4046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F53"/>
      </patternFill>
    </fill>
    <fill>
      <patternFill patternType="solid">
        <fgColor rgb="FF3F937E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5" fillId="3" borderId="0" xfId="0" applyFont="1" applyFill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0" fontId="6" fillId="0" borderId="0" xfId="0" applyFont="1" applyAlignment="1">
      <alignment horizontal="left" vertical="center" wrapText="1" shrinkToFit="1" readingOrder="1"/>
    </xf>
    <xf numFmtId="4" fontId="6" fillId="0" borderId="0" xfId="0" applyNumberFormat="1" applyFont="1" applyAlignment="1">
      <alignment horizontal="right" vertical="center" wrapText="1" shrinkToFit="1" readingOrder="1"/>
    </xf>
    <xf numFmtId="164" fontId="6" fillId="0" borderId="0" xfId="0" applyNumberFormat="1" applyFont="1" applyAlignment="1">
      <alignment horizontal="right" vertical="center" wrapText="1" shrinkToFit="1" readingOrder="1"/>
    </xf>
    <xf numFmtId="165" fontId="6" fillId="0" borderId="0" xfId="0" applyNumberFormat="1" applyFont="1" applyAlignment="1">
      <alignment horizontal="right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164" fontId="6" fillId="0" borderId="0" xfId="0" applyNumberFormat="1" applyFont="1" applyAlignment="1">
      <alignment horizontal="right" vertical="center" wrapText="1" shrinkToFit="1" readingOrder="1"/>
    </xf>
    <xf numFmtId="0" fontId="6" fillId="0" borderId="0" xfId="0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right" vertical="top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0" fontId="2" fillId="2" borderId="0" xfId="0" applyFont="1" applyFill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5" fillId="2" borderId="0" xfId="0" applyFont="1" applyFill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28575</xdr:rowOff>
    </xdr:from>
    <xdr:to>
      <xdr:col>12</xdr:col>
      <xdr:colOff>133350</xdr:colOff>
      <xdr:row>27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4762" algn="in">
          <a:solidFill>
            <a:srgbClr val="80808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9"/>
  <sheetViews>
    <sheetView showGridLines="0" tabSelected="1" topLeftCell="A4" workbookViewId="0">
      <selection activeCell="I16" sqref="I16:J16"/>
    </sheetView>
  </sheetViews>
  <sheetFormatPr baseColWidth="10" defaultRowHeight="14.5" x14ac:dyDescent="0.35"/>
  <cols>
    <col min="1" max="1" width="0.81640625" customWidth="1"/>
    <col min="2" max="2" width="1.81640625" customWidth="1"/>
    <col min="3" max="3" width="10.54296875" customWidth="1"/>
    <col min="4" max="4" width="3" customWidth="1"/>
    <col min="5" max="5" width="7" customWidth="1"/>
    <col min="6" max="6" width="23.81640625" customWidth="1"/>
    <col min="7" max="7" width="8.81640625" customWidth="1"/>
    <col min="8" max="8" width="13.453125" customWidth="1"/>
    <col min="9" max="9" width="6.26953125" customWidth="1"/>
    <col min="10" max="10" width="8" customWidth="1"/>
    <col min="11" max="11" width="13.7265625" customWidth="1"/>
    <col min="12" max="12" width="13.08984375" customWidth="1"/>
    <col min="13" max="13" width="12.36328125" customWidth="1"/>
    <col min="14" max="14" width="0.81640625" customWidth="1"/>
  </cols>
  <sheetData>
    <row r="1" spans="1:14" ht="6" customHeight="1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27.75" customHeight="1" x14ac:dyDescent="0.3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"/>
    </row>
    <row r="3" spans="1:14" ht="6" customHeight="1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"/>
    </row>
    <row r="4" spans="1:14" ht="20.25" customHeight="1" x14ac:dyDescent="0.35">
      <c r="F4" s="16" t="s">
        <v>1</v>
      </c>
      <c r="G4" s="16"/>
      <c r="H4" s="16"/>
      <c r="I4" s="16"/>
      <c r="J4" s="16"/>
      <c r="K4" s="16"/>
      <c r="L4" s="16"/>
    </row>
    <row r="5" spans="1:14" ht="20.25" customHeight="1" x14ac:dyDescent="0.35">
      <c r="C5" s="17" t="s">
        <v>2</v>
      </c>
      <c r="D5" s="17"/>
      <c r="E5" s="17"/>
      <c r="F5" s="17"/>
      <c r="I5" s="18" t="s">
        <v>3</v>
      </c>
      <c r="J5" s="18"/>
      <c r="K5" s="19" t="s">
        <v>4</v>
      </c>
      <c r="L5" s="19"/>
    </row>
    <row r="6" spans="1:14" ht="2.25" customHeight="1" x14ac:dyDescent="0.35"/>
    <row r="7" spans="1:14" ht="21" customHeight="1" x14ac:dyDescent="0.35">
      <c r="C7" s="2" t="s">
        <v>5</v>
      </c>
      <c r="D7" s="13" t="s">
        <v>6</v>
      </c>
      <c r="E7" s="13"/>
      <c r="F7" s="13"/>
      <c r="G7" s="13"/>
      <c r="H7" s="3" t="s">
        <v>7</v>
      </c>
      <c r="I7" s="13" t="s">
        <v>8</v>
      </c>
      <c r="J7" s="13"/>
      <c r="K7" s="3" t="s">
        <v>9</v>
      </c>
      <c r="L7" s="3" t="s">
        <v>10</v>
      </c>
      <c r="M7" s="3" t="s">
        <v>30</v>
      </c>
    </row>
    <row r="8" spans="1:14" ht="0.75" customHeight="1" x14ac:dyDescent="0.35"/>
    <row r="9" spans="1:14" ht="13.5" customHeight="1" x14ac:dyDescent="0.35">
      <c r="C9" s="4">
        <v>24698</v>
      </c>
      <c r="D9" s="8" t="s">
        <v>11</v>
      </c>
      <c r="E9" s="8"/>
      <c r="F9" s="8"/>
      <c r="G9" s="8"/>
      <c r="H9" s="5">
        <v>20000000</v>
      </c>
      <c r="I9" s="9">
        <v>98068.08</v>
      </c>
      <c r="J9" s="9"/>
      <c r="K9" s="6">
        <v>97624.56</v>
      </c>
      <c r="L9" s="6">
        <v>66000</v>
      </c>
      <c r="M9" s="7">
        <f t="shared" ref="M9:M24" si="0">(H9*1.452%)*1.1</f>
        <v>319440</v>
      </c>
    </row>
    <row r="10" spans="1:14" ht="14.25" customHeight="1" x14ac:dyDescent="0.35">
      <c r="C10" s="4">
        <v>34055</v>
      </c>
      <c r="D10" s="8" t="s">
        <v>12</v>
      </c>
      <c r="E10" s="8"/>
      <c r="F10" s="8"/>
      <c r="G10" s="8"/>
      <c r="H10" s="5">
        <v>22000000</v>
      </c>
      <c r="I10" s="9">
        <v>107874.88800000001</v>
      </c>
      <c r="J10" s="9"/>
      <c r="K10" s="6">
        <v>107387.016</v>
      </c>
      <c r="L10" s="6">
        <v>72600</v>
      </c>
      <c r="M10" s="7">
        <f t="shared" si="0"/>
        <v>351384</v>
      </c>
    </row>
    <row r="11" spans="1:14" ht="14.25" customHeight="1" x14ac:dyDescent="0.35">
      <c r="C11" s="4">
        <v>27558</v>
      </c>
      <c r="D11" s="8" t="s">
        <v>13</v>
      </c>
      <c r="E11" s="8"/>
      <c r="F11" s="8"/>
      <c r="G11" s="8"/>
      <c r="H11" s="5">
        <v>25000000</v>
      </c>
      <c r="I11" s="9">
        <v>122585.1</v>
      </c>
      <c r="J11" s="9"/>
      <c r="K11" s="6">
        <v>122030.7</v>
      </c>
      <c r="L11" s="6">
        <v>82500</v>
      </c>
      <c r="M11" s="7">
        <f t="shared" si="0"/>
        <v>399300.00000000006</v>
      </c>
    </row>
    <row r="12" spans="1:14" ht="14.25" customHeight="1" x14ac:dyDescent="0.35">
      <c r="C12" s="4">
        <v>34056</v>
      </c>
      <c r="D12" s="8" t="s">
        <v>14</v>
      </c>
      <c r="E12" s="8"/>
      <c r="F12" s="8"/>
      <c r="G12" s="8"/>
      <c r="H12" s="5">
        <v>27000000</v>
      </c>
      <c r="I12" s="9">
        <v>132391.908</v>
      </c>
      <c r="J12" s="9"/>
      <c r="K12" s="6">
        <v>131793.15599999999</v>
      </c>
      <c r="L12" s="6">
        <v>89100</v>
      </c>
      <c r="M12" s="7">
        <f t="shared" si="0"/>
        <v>431244.00000000006</v>
      </c>
    </row>
    <row r="13" spans="1:14" ht="14.25" customHeight="1" x14ac:dyDescent="0.35">
      <c r="C13" s="4">
        <v>27559</v>
      </c>
      <c r="D13" s="8" t="s">
        <v>15</v>
      </c>
      <c r="E13" s="8"/>
      <c r="F13" s="8"/>
      <c r="G13" s="8"/>
      <c r="H13" s="5">
        <v>30000000</v>
      </c>
      <c r="I13" s="9">
        <v>147102.12</v>
      </c>
      <c r="J13" s="9"/>
      <c r="K13" s="6">
        <v>146436.84</v>
      </c>
      <c r="L13" s="6">
        <v>99000</v>
      </c>
      <c r="M13" s="7">
        <f t="shared" si="0"/>
        <v>479160.00000000006</v>
      </c>
    </row>
    <row r="14" spans="1:14" ht="14.25" customHeight="1" x14ac:dyDescent="0.35">
      <c r="C14" s="4">
        <v>34057</v>
      </c>
      <c r="D14" s="8" t="s">
        <v>16</v>
      </c>
      <c r="E14" s="8"/>
      <c r="F14" s="8"/>
      <c r="G14" s="8"/>
      <c r="H14" s="5">
        <v>32000000</v>
      </c>
      <c r="I14" s="9">
        <v>156908.92800000001</v>
      </c>
      <c r="J14" s="9"/>
      <c r="K14" s="6">
        <v>156199.296</v>
      </c>
      <c r="L14" s="6">
        <v>105600</v>
      </c>
      <c r="M14" s="7">
        <f t="shared" si="0"/>
        <v>511104.00000000006</v>
      </c>
    </row>
    <row r="15" spans="1:14" ht="14.25" customHeight="1" x14ac:dyDescent="0.35">
      <c r="C15" s="4">
        <v>27560</v>
      </c>
      <c r="D15" s="8" t="s">
        <v>17</v>
      </c>
      <c r="E15" s="8"/>
      <c r="F15" s="8"/>
      <c r="G15" s="8"/>
      <c r="H15" s="5">
        <v>35000000</v>
      </c>
      <c r="I15" s="9">
        <v>171619.14</v>
      </c>
      <c r="J15" s="9"/>
      <c r="K15" s="6">
        <v>170842.98</v>
      </c>
      <c r="L15" s="6">
        <v>115500</v>
      </c>
      <c r="M15" s="7">
        <f t="shared" si="0"/>
        <v>559020</v>
      </c>
    </row>
    <row r="16" spans="1:14" ht="14.25" customHeight="1" x14ac:dyDescent="0.35">
      <c r="C16" s="4">
        <v>34058</v>
      </c>
      <c r="D16" s="8" t="s">
        <v>18</v>
      </c>
      <c r="E16" s="8"/>
      <c r="F16" s="8"/>
      <c r="G16" s="8"/>
      <c r="H16" s="5">
        <v>37000000</v>
      </c>
      <c r="I16" s="9">
        <v>181425.948</v>
      </c>
      <c r="J16" s="9"/>
      <c r="K16" s="6">
        <v>180605.43599999999</v>
      </c>
      <c r="L16" s="6">
        <v>122100</v>
      </c>
      <c r="M16" s="7">
        <f t="shared" si="0"/>
        <v>590964</v>
      </c>
    </row>
    <row r="17" spans="2:13" ht="14.25" customHeight="1" x14ac:dyDescent="0.35">
      <c r="C17" s="4">
        <v>27561</v>
      </c>
      <c r="D17" s="8" t="s">
        <v>19</v>
      </c>
      <c r="E17" s="8"/>
      <c r="F17" s="8"/>
      <c r="G17" s="8"/>
      <c r="H17" s="5">
        <v>40000000</v>
      </c>
      <c r="I17" s="9">
        <v>196136.16</v>
      </c>
      <c r="J17" s="9"/>
      <c r="K17" s="6">
        <v>195249.12</v>
      </c>
      <c r="L17" s="6">
        <v>132000</v>
      </c>
      <c r="M17" s="7">
        <f t="shared" si="0"/>
        <v>638880</v>
      </c>
    </row>
    <row r="18" spans="2:13" ht="20.25" customHeight="1" x14ac:dyDescent="0.35">
      <c r="C18" s="4">
        <v>27562</v>
      </c>
      <c r="D18" s="8" t="s">
        <v>20</v>
      </c>
      <c r="E18" s="8"/>
      <c r="F18" s="8"/>
      <c r="G18" s="8"/>
      <c r="H18" s="5">
        <v>45000000</v>
      </c>
      <c r="I18" s="9">
        <v>220653.18</v>
      </c>
      <c r="J18" s="9"/>
      <c r="K18" s="6">
        <v>219655.26</v>
      </c>
      <c r="L18" s="6">
        <v>148500</v>
      </c>
      <c r="M18" s="7">
        <f t="shared" si="0"/>
        <v>718740</v>
      </c>
    </row>
    <row r="19" spans="2:13" ht="14.25" customHeight="1" x14ac:dyDescent="0.35">
      <c r="C19" s="4">
        <v>27563</v>
      </c>
      <c r="D19" s="8" t="s">
        <v>21</v>
      </c>
      <c r="E19" s="8"/>
      <c r="F19" s="8"/>
      <c r="G19" s="8"/>
      <c r="H19" s="5">
        <v>50000000</v>
      </c>
      <c r="I19" s="9">
        <v>245170.2</v>
      </c>
      <c r="J19" s="9"/>
      <c r="K19" s="6">
        <v>244061.4</v>
      </c>
      <c r="L19" s="6">
        <v>165000</v>
      </c>
      <c r="M19" s="7">
        <f t="shared" si="0"/>
        <v>798600.00000000012</v>
      </c>
    </row>
    <row r="20" spans="2:13" ht="14.25" customHeight="1" x14ac:dyDescent="0.35">
      <c r="C20" s="4">
        <v>36960</v>
      </c>
      <c r="D20" s="8" t="s">
        <v>22</v>
      </c>
      <c r="E20" s="8"/>
      <c r="F20" s="8"/>
      <c r="G20" s="8"/>
      <c r="H20" s="5">
        <v>60000000</v>
      </c>
      <c r="I20" s="9">
        <v>294204.24</v>
      </c>
      <c r="J20" s="9"/>
      <c r="K20" s="6">
        <v>292873.68</v>
      </c>
      <c r="L20" s="6">
        <v>198000</v>
      </c>
      <c r="M20" s="7">
        <f t="shared" si="0"/>
        <v>958320.00000000012</v>
      </c>
    </row>
    <row r="21" spans="2:13" ht="14.25" customHeight="1" x14ac:dyDescent="0.35">
      <c r="C21" s="4">
        <v>36963</v>
      </c>
      <c r="D21" s="8" t="s">
        <v>23</v>
      </c>
      <c r="E21" s="8"/>
      <c r="F21" s="8"/>
      <c r="G21" s="8"/>
      <c r="H21" s="5">
        <v>70000000</v>
      </c>
      <c r="I21" s="9">
        <v>343238.28</v>
      </c>
      <c r="J21" s="9"/>
      <c r="K21" s="6">
        <v>341685.96</v>
      </c>
      <c r="L21" s="6">
        <v>231000</v>
      </c>
      <c r="M21" s="7">
        <f t="shared" si="0"/>
        <v>1118040</v>
      </c>
    </row>
    <row r="22" spans="2:13" ht="14.25" customHeight="1" x14ac:dyDescent="0.35">
      <c r="C22" s="4">
        <v>36964</v>
      </c>
      <c r="D22" s="8" t="s">
        <v>24</v>
      </c>
      <c r="E22" s="8"/>
      <c r="F22" s="8"/>
      <c r="G22" s="8"/>
      <c r="H22" s="5">
        <v>80000000</v>
      </c>
      <c r="I22" s="9">
        <v>392272.32</v>
      </c>
      <c r="J22" s="9"/>
      <c r="K22" s="6">
        <v>390498.24</v>
      </c>
      <c r="L22" s="6">
        <v>264000</v>
      </c>
      <c r="M22" s="7">
        <f t="shared" si="0"/>
        <v>1277760</v>
      </c>
    </row>
    <row r="23" spans="2:13" ht="13.5" customHeight="1" x14ac:dyDescent="0.35">
      <c r="C23" s="4">
        <v>36965</v>
      </c>
      <c r="D23" s="8" t="s">
        <v>25</v>
      </c>
      <c r="E23" s="8"/>
      <c r="F23" s="8"/>
      <c r="G23" s="8"/>
      <c r="H23" s="5">
        <v>90000000</v>
      </c>
      <c r="I23" s="9">
        <v>441306.36</v>
      </c>
      <c r="J23" s="9"/>
      <c r="K23" s="6">
        <v>439310.52</v>
      </c>
      <c r="L23" s="6">
        <v>297000</v>
      </c>
      <c r="M23" s="7">
        <f t="shared" si="0"/>
        <v>1437480</v>
      </c>
    </row>
    <row r="24" spans="2:13" ht="14.25" customHeight="1" x14ac:dyDescent="0.35">
      <c r="C24" s="4">
        <v>36966</v>
      </c>
      <c r="D24" s="8" t="s">
        <v>26</v>
      </c>
      <c r="E24" s="8"/>
      <c r="F24" s="8"/>
      <c r="G24" s="8"/>
      <c r="H24" s="5">
        <v>100000000</v>
      </c>
      <c r="I24" s="9">
        <v>490340.4</v>
      </c>
      <c r="J24" s="9"/>
      <c r="K24" s="6">
        <v>488122.8</v>
      </c>
      <c r="L24" s="6">
        <v>330000</v>
      </c>
      <c r="M24" s="7">
        <f t="shared" si="0"/>
        <v>1597200.0000000002</v>
      </c>
    </row>
    <row r="25" spans="2:13" ht="4.5" customHeight="1" x14ac:dyDescent="0.35"/>
    <row r="26" spans="2:13" ht="39.75" customHeight="1" x14ac:dyDescent="0.35">
      <c r="C26" s="10" t="s">
        <v>27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2:13" ht="3.75" customHeight="1" x14ac:dyDescent="0.35"/>
    <row r="28" spans="2:13" ht="4.5" customHeight="1" x14ac:dyDescent="0.35"/>
    <row r="29" spans="2:13" ht="16.5" customHeight="1" x14ac:dyDescent="0.35">
      <c r="B29" s="11" t="s">
        <v>28</v>
      </c>
      <c r="C29" s="11"/>
      <c r="D29" s="11"/>
      <c r="J29" s="12" t="s">
        <v>29</v>
      </c>
      <c r="K29" s="12"/>
      <c r="L29" s="12"/>
      <c r="M29" s="12"/>
    </row>
  </sheetData>
  <mergeCells count="44">
    <mergeCell ref="D7:G7"/>
    <mergeCell ref="I7:J7"/>
    <mergeCell ref="A1:M1"/>
    <mergeCell ref="A2:M2"/>
    <mergeCell ref="A3:M3"/>
    <mergeCell ref="F4:L4"/>
    <mergeCell ref="C5:F5"/>
    <mergeCell ref="I5:J5"/>
    <mergeCell ref="K5:L5"/>
    <mergeCell ref="D9:G9"/>
    <mergeCell ref="I9:J9"/>
    <mergeCell ref="D10:G10"/>
    <mergeCell ref="I10:J10"/>
    <mergeCell ref="D11:G11"/>
    <mergeCell ref="I11:J11"/>
    <mergeCell ref="D12:G12"/>
    <mergeCell ref="I12:J12"/>
    <mergeCell ref="D13:G13"/>
    <mergeCell ref="I13:J13"/>
    <mergeCell ref="D14:G14"/>
    <mergeCell ref="I14:J14"/>
    <mergeCell ref="D15:G15"/>
    <mergeCell ref="I15:J15"/>
    <mergeCell ref="D16:G16"/>
    <mergeCell ref="I16:J16"/>
    <mergeCell ref="D17:G17"/>
    <mergeCell ref="I17:J17"/>
    <mergeCell ref="D18:G18"/>
    <mergeCell ref="I18:J18"/>
    <mergeCell ref="D19:G19"/>
    <mergeCell ref="I19:J19"/>
    <mergeCell ref="D20:G20"/>
    <mergeCell ref="I20:J20"/>
    <mergeCell ref="D21:G21"/>
    <mergeCell ref="I21:J21"/>
    <mergeCell ref="D22:G22"/>
    <mergeCell ref="I22:J22"/>
    <mergeCell ref="D23:G23"/>
    <mergeCell ref="I23:J23"/>
    <mergeCell ref="D24:G24"/>
    <mergeCell ref="I24:J24"/>
    <mergeCell ref="C26:L26"/>
    <mergeCell ref="B29:D29"/>
    <mergeCell ref="J29:M29"/>
  </mergeCells>
  <pageMargins left="0" right="0" top="0" bottom="0.28999999165534973" header="0.3" footer="0.3"/>
  <pageSetup paperSize="7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Peralta</dc:creator>
  <cp:lastModifiedBy>Peralta, Jesus David</cp:lastModifiedBy>
  <dcterms:created xsi:type="dcterms:W3CDTF">2025-08-21T21:30:08Z</dcterms:created>
  <dcterms:modified xsi:type="dcterms:W3CDTF">2025-10-02T19:21:24Z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19.2.13.0</vt:lpwstr>
  </property>
</Properties>
</file>