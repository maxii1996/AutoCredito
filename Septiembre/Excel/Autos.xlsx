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68ff4d71e72a0106/Escritorio/"/>
    </mc:Choice>
  </mc:AlternateContent>
  <xr:revisionPtr revIDLastSave="30" documentId="8_{39710EA0-F744-4888-A890-5960554BDDB2}" xr6:coauthVersionLast="47" xr6:coauthVersionMax="47" xr10:uidLastSave="{3C1464D8-C8FA-46BB-9F16-1C14AABF720E}"/>
  <bookViews>
    <workbookView xWindow="-108" yWindow="-108" windowWidth="30936" windowHeight="1749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2" i="1" l="1"/>
  <c r="M13" i="1"/>
  <c r="M15" i="1"/>
  <c r="M16" i="1"/>
  <c r="M18" i="1"/>
  <c r="M20" i="1"/>
  <c r="M21" i="1"/>
  <c r="M22" i="1"/>
  <c r="M23" i="1"/>
  <c r="M25" i="1"/>
  <c r="M27" i="1"/>
  <c r="M29" i="1"/>
  <c r="M30" i="1"/>
  <c r="M32" i="1"/>
  <c r="M33" i="1"/>
  <c r="M35" i="1"/>
  <c r="M36" i="1"/>
  <c r="M37" i="1"/>
  <c r="M38" i="1"/>
  <c r="M40" i="1"/>
  <c r="M41" i="1"/>
  <c r="M42" i="1"/>
  <c r="M43" i="1"/>
  <c r="M45" i="1"/>
  <c r="M46" i="1"/>
  <c r="M47" i="1"/>
  <c r="M48" i="1"/>
  <c r="M49" i="1"/>
  <c r="M52" i="1"/>
  <c r="M54" i="1"/>
  <c r="M57" i="1"/>
  <c r="M58" i="1"/>
  <c r="M60" i="1"/>
  <c r="M61" i="1"/>
  <c r="M63" i="1"/>
  <c r="M64" i="1"/>
  <c r="M66" i="1"/>
  <c r="M68" i="1"/>
  <c r="M70" i="1"/>
  <c r="M71" i="1"/>
  <c r="M72" i="1"/>
  <c r="M73" i="1"/>
  <c r="M75" i="1"/>
  <c r="M77" i="1"/>
  <c r="M78" i="1"/>
  <c r="M11" i="1"/>
</calcChain>
</file>

<file path=xl/sharedStrings.xml><?xml version="1.0" encoding="utf-8"?>
<sst xmlns="http://schemas.openxmlformats.org/spreadsheetml/2006/main" count="85" uniqueCount="76">
  <si>
    <t>0KM.</t>
  </si>
  <si>
    <t>**CAMPAÑA 2025-11</t>
  </si>
  <si>
    <t>21-10-2025 al 20-11-2025 - Plan 300 V032019</t>
  </si>
  <si>
    <t>Derecho de ingreso</t>
  </si>
  <si>
    <t>Cuota comercial del mes</t>
  </si>
  <si>
    <t>Código</t>
  </si>
  <si>
    <t>Descripción</t>
  </si>
  <si>
    <t xml:space="preserve"> Valor Nominal</t>
  </si>
  <si>
    <t>Suscripción</t>
  </si>
  <si>
    <t>Cuota 1 a 7</t>
  </si>
  <si>
    <t>Cuota 8 en adelante</t>
  </si>
  <si>
    <t>Auto</t>
  </si>
  <si>
    <t xml:space="preserve">                  Chevrolet</t>
  </si>
  <si>
    <t>CHEVROLET ONIX PLUS 1.0 LT MT</t>
  </si>
  <si>
    <t>CHEVROLET SPIN PREMIER 7 PASAJEROS</t>
  </si>
  <si>
    <t>CHEVROLET TRACKER 1.2L TURBO LTZ AUT. NAFTA</t>
  </si>
  <si>
    <t xml:space="preserve">                  Citroen </t>
  </si>
  <si>
    <t>CITROEN C3 AIRCROSS VTI FEEL PACK</t>
  </si>
  <si>
    <t>CITROEN C3 VTI 115 FEEL PACK AUT.</t>
  </si>
  <si>
    <t xml:space="preserve">                  Coradir</t>
  </si>
  <si>
    <t>TITO S5 - 300</t>
  </si>
  <si>
    <t xml:space="preserve">                  Fiat </t>
  </si>
  <si>
    <t>FIAT CRONOS DRIVE 1.3L PACK PLUS</t>
  </si>
  <si>
    <t>FIAT CRONOS PRECISION 1.3  CVT  NAFTA (15646)</t>
  </si>
  <si>
    <t>FIAT MOBI TREKKING 1.0L</t>
  </si>
  <si>
    <t>FIAT PULSE DRIVE CVT 1.3L NAFTA</t>
  </si>
  <si>
    <t xml:space="preserve">                  Ford </t>
  </si>
  <si>
    <t>FORD BRONCO SPORT BIG BEND 1.5L NAFTA</t>
  </si>
  <si>
    <t xml:space="preserve">                  JEEP</t>
  </si>
  <si>
    <t>JEEP COMPASS LIMITED 1.3 4X2 NAFTA</t>
  </si>
  <si>
    <t xml:space="preserve">                  NISSAN</t>
  </si>
  <si>
    <t>NISSAN KICKS ADVANCE 1.6L CVT NAFTA</t>
  </si>
  <si>
    <t>NISSAN VERSA ADVANCE 1.6L MT NAFTA</t>
  </si>
  <si>
    <t xml:space="preserve">                  Peugeot </t>
  </si>
  <si>
    <t>PEUGEOT 2008 GT T200 NAFTA</t>
  </si>
  <si>
    <t>PEUGEOT 208 ALLURE 1.6L  NAFTA (15658)</t>
  </si>
  <si>
    <t xml:space="preserve">                  Renault </t>
  </si>
  <si>
    <t>RENAULT DUSTER ICONIC CVT 1.3L  4x2 NAFTA</t>
  </si>
  <si>
    <t>RENAULT KWID ICONIC BITONO 1.0L</t>
  </si>
  <si>
    <t>RENAULT LOGAN LIFE  1.6L NAFTA (15665)</t>
  </si>
  <si>
    <t>RENAULT SANDERO INTENS 1.6L NAFTA</t>
  </si>
  <si>
    <t xml:space="preserve">                  Toyota </t>
  </si>
  <si>
    <t>TOYOTA COROLLA CROSS 2.0L XLI CVT NAFTA</t>
  </si>
  <si>
    <t>TOYOTA COROLLA XLI CVT 2.0L (15666)</t>
  </si>
  <si>
    <t>TOYOTA SW4 SRX 2.8L TDI 6AT. 7A.</t>
  </si>
  <si>
    <t>TOYOYA YARIS HATCHBACK  1.5 XLS CVT</t>
  </si>
  <si>
    <t xml:space="preserve">                  Volkswagen </t>
  </si>
  <si>
    <t>VW NIVUS HIGHLINE 200 TSI 1.0L NAFTA</t>
  </si>
  <si>
    <t>VW POLO MSI 5PTAS. 1.6L NAFTA</t>
  </si>
  <si>
    <t>VW T-CROSS CONFORTLINE MT</t>
  </si>
  <si>
    <t>VW VENTO GLI 350 TSI</t>
  </si>
  <si>
    <t>VW VIRTUS HIGHLINE 1.0L</t>
  </si>
  <si>
    <t>Camiones</t>
  </si>
  <si>
    <t>FORD TRANSIT CHASIS 2.0L 4X2 MT</t>
  </si>
  <si>
    <t xml:space="preserve">                  IVECO</t>
  </si>
  <si>
    <t>IVECO TECTOR ATTACK 150E21</t>
  </si>
  <si>
    <t>Utilitarios</t>
  </si>
  <si>
    <t>CHEVROLET MONTANA 1.2T LTZ AT.</t>
  </si>
  <si>
    <t>CHEVROLET S-10 CD 4X2 2.8  (15643)</t>
  </si>
  <si>
    <t>FIAT STRADA FREEDOM CD 1.3 FIREFLY</t>
  </si>
  <si>
    <t>FIAT TORO FREEDOM CD 4X2 1.3L NAFTA</t>
  </si>
  <si>
    <t>FORD MAVERICK XLT 2.0L NAFTA</t>
  </si>
  <si>
    <t>FORD RANGER CD XL 4X2 2.0L DIESEL (15651)</t>
  </si>
  <si>
    <t>NISSAN FRONTIER S 4X2 2.3L TDI DIESEL</t>
  </si>
  <si>
    <t>PEUGEOT BOXER FURGON L3H2 HDI 2.2L (15661)</t>
  </si>
  <si>
    <t>RENAULT ALASKAN EMOTION 4X4 2.3L DIESEL</t>
  </si>
  <si>
    <t>RENAULT KANGOO EXPRESS FURGON CONFORT 1.5L DCI AA DA CD SVT 1PTA. (15664)</t>
  </si>
  <si>
    <t>RENAULT MASTER FURGON L1H1 2.3 DCI</t>
  </si>
  <si>
    <t>RENAULT OROCH OUTSIDER 4X4 1.3L NAFTA</t>
  </si>
  <si>
    <t>TOYOTA HILUX 4X2 CD DX TDI 2.4L (15667)</t>
  </si>
  <si>
    <t>VW AMAROK HIGHLINE  V6 3.0 TDI AUT.</t>
  </si>
  <si>
    <t>VW SAVEIRO CONFORTLINE 1.6 MSI MT</t>
  </si>
  <si>
    <t>* (Cuota 1 a 7) Incluye 9.90% del derecho de ingreso y el 10% autorizado por la IGJN Resolución Nro. 000176/04
* (Suscripción/Cuota 8 en adelante) Incluye 10% autorizado por la IGJN Resolución Nro. 000176/04
(1) En los valores de las cuotas comerciales se adicionará según el artículo 13 del titulo de capitalización los impuestos que pudieran corresponder para cada jurisdicción</t>
  </si>
  <si>
    <t>20/10/2025 10:26:57</t>
  </si>
  <si>
    <t>Página 1 de 1</t>
  </si>
  <si>
    <t>Derecho de Ingreso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</si>
</sst>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\$0.00"/>
  </numFmts>
  <fonts count="10" x14ac:knownFonts="1"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b/>
      <sz val="24"/>
      <color rgb="FFFFFFFF"/>
      <name val="Arial"/>
      <family val="2"/>
    </font>
    <font>
      <b/>
      <sz val="9"/>
      <color rgb="FF006F53"/>
      <name val="Arial"/>
      <family val="2"/>
    </font>
    <font>
      <sz val="9"/>
      <color rgb="FF006F53"/>
      <name val="Arial"/>
      <family val="2"/>
    </font>
    <font>
      <b/>
      <sz val="8"/>
      <color rgb="FFFFFFFF"/>
      <name val="Arial"/>
      <family val="2"/>
    </font>
    <font>
      <b/>
      <sz val="9"/>
      <color rgb="FFFFFFFF"/>
      <name val="Arial"/>
      <family val="2"/>
    </font>
    <font>
      <sz val="8"/>
      <color rgb="FF000000"/>
      <name val="Arial"/>
      <family val="2"/>
    </font>
    <font>
      <b/>
      <sz val="8"/>
      <color rgb="FF404650"/>
      <name val="Arial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6F53"/>
      </patternFill>
    </fill>
    <fill>
      <patternFill patternType="solid">
        <fgColor rgb="FF3F937E"/>
      </patternFill>
    </fill>
  </fills>
  <borders count="3">
    <border>
      <left/>
      <right/>
      <top/>
      <bottom/>
      <diagonal/>
    </border>
    <border>
      <left style="medium">
        <color rgb="FFFFFFF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9" fillId="0" borderId="0" applyFont="0" applyFill="0" applyBorder="0" applyAlignment="0" applyProtection="0"/>
  </cellStyleXfs>
  <cellXfs count="24">
    <xf numFmtId="0" fontId="0" fillId="0" borderId="0" xfId="0"/>
    <xf numFmtId="0" fontId="1" fillId="2" borderId="0" xfId="0" applyFont="1" applyFill="1" applyAlignment="1">
      <alignment horizontal="left" vertical="top" wrapText="1" shrinkToFit="1" readingOrder="1"/>
    </xf>
    <xf numFmtId="0" fontId="5" fillId="3" borderId="0" xfId="0" applyFont="1" applyFill="1" applyAlignment="1">
      <alignment horizontal="center" vertical="center" wrapText="1" shrinkToFit="1" readingOrder="1"/>
    </xf>
    <xf numFmtId="0" fontId="5" fillId="3" borderId="1" xfId="0" applyFont="1" applyFill="1" applyBorder="1" applyAlignment="1">
      <alignment horizontal="center" vertical="center" wrapText="1" shrinkToFit="1" readingOrder="1"/>
    </xf>
    <xf numFmtId="49" fontId="5" fillId="3" borderId="1" xfId="0" applyNumberFormat="1" applyFont="1" applyFill="1" applyBorder="1" applyAlignment="1">
      <alignment horizontal="center" vertical="center" wrapText="1" shrinkToFit="1" readingOrder="1"/>
    </xf>
    <xf numFmtId="0" fontId="7" fillId="0" borderId="0" xfId="0" applyFont="1" applyAlignment="1">
      <alignment horizontal="left" vertical="center" wrapText="1" shrinkToFit="1" readingOrder="1"/>
    </xf>
    <xf numFmtId="4" fontId="7" fillId="0" borderId="0" xfId="0" applyNumberFormat="1" applyFont="1" applyAlignment="1">
      <alignment horizontal="right" vertical="center" wrapText="1" shrinkToFit="1" readingOrder="1"/>
    </xf>
    <xf numFmtId="164" fontId="7" fillId="0" borderId="0" xfId="0" applyNumberFormat="1" applyFont="1" applyAlignment="1">
      <alignment horizontal="right" vertical="center" wrapText="1" shrinkToFit="1" readingOrder="1"/>
    </xf>
    <xf numFmtId="49" fontId="7" fillId="0" borderId="0" xfId="0" applyNumberFormat="1" applyFont="1" applyAlignment="1">
      <alignment horizontal="left" vertical="center" wrapText="1" shrinkToFit="1" readingOrder="1"/>
    </xf>
    <xf numFmtId="0" fontId="7" fillId="0" borderId="0" xfId="0" applyFont="1" applyAlignment="1">
      <alignment horizontal="left" vertical="top" wrapText="1" shrinkToFit="1" readingOrder="1"/>
    </xf>
    <xf numFmtId="49" fontId="8" fillId="0" borderId="0" xfId="0" applyNumberFormat="1" applyFont="1" applyAlignment="1">
      <alignment horizontal="left" vertical="top" wrapText="1" shrinkToFit="1" readingOrder="1"/>
    </xf>
    <xf numFmtId="49" fontId="8" fillId="0" borderId="0" xfId="0" applyNumberFormat="1" applyFont="1" applyAlignment="1">
      <alignment horizontal="right" vertical="top" wrapText="1" shrinkToFit="1" readingOrder="1"/>
    </xf>
    <xf numFmtId="49" fontId="3" fillId="0" borderId="2" xfId="0" applyNumberFormat="1" applyFont="1" applyBorder="1" applyAlignment="1">
      <alignment horizontal="center" vertical="center" wrapText="1" shrinkToFit="1" readingOrder="1"/>
    </xf>
    <xf numFmtId="49" fontId="6" fillId="2" borderId="0" xfId="0" applyNumberFormat="1" applyFont="1" applyFill="1" applyAlignment="1">
      <alignment horizontal="center" vertical="center" wrapText="1" shrinkToFit="1" readingOrder="1"/>
    </xf>
    <xf numFmtId="0" fontId="1" fillId="2" borderId="0" xfId="0" applyFont="1" applyFill="1" applyAlignment="1">
      <alignment horizontal="left" vertical="top" wrapText="1" shrinkToFit="1" readingOrder="1"/>
    </xf>
    <xf numFmtId="0" fontId="2" fillId="2" borderId="0" xfId="0" applyFont="1" applyFill="1" applyAlignment="1">
      <alignment horizontal="right" vertical="center" wrapText="1" shrinkToFit="1" readingOrder="1"/>
    </xf>
    <xf numFmtId="49" fontId="3" fillId="0" borderId="0" xfId="0" applyNumberFormat="1" applyFont="1" applyAlignment="1">
      <alignment horizontal="right" vertical="center" wrapText="1" shrinkToFit="1" readingOrder="1"/>
    </xf>
    <xf numFmtId="49" fontId="4" fillId="0" borderId="0" xfId="0" applyNumberFormat="1" applyFont="1" applyAlignment="1">
      <alignment horizontal="left" vertical="top" wrapText="1" shrinkToFit="1" readingOrder="1"/>
    </xf>
    <xf numFmtId="0" fontId="5" fillId="2" borderId="1" xfId="0" applyFont="1" applyFill="1" applyBorder="1" applyAlignment="1">
      <alignment horizontal="center" vertical="center" wrapText="1" shrinkToFit="1" readingOrder="1"/>
    </xf>
    <xf numFmtId="0" fontId="5" fillId="3" borderId="1" xfId="0" applyFont="1" applyFill="1" applyBorder="1" applyAlignment="1">
      <alignment horizontal="center" vertical="center" wrapText="1" shrinkToFit="1" readingOrder="1"/>
    </xf>
    <xf numFmtId="43" fontId="0" fillId="0" borderId="0" xfId="1" applyFont="1"/>
    <xf numFmtId="43" fontId="5" fillId="2" borderId="0" xfId="1" applyFont="1" applyFill="1" applyAlignment="1">
      <alignment horizontal="center" vertical="center" wrapText="1" shrinkToFit="1" readingOrder="1"/>
    </xf>
    <xf numFmtId="43" fontId="5" fillId="3" borderId="1" xfId="1" applyFont="1" applyFill="1" applyBorder="1" applyAlignment="1">
      <alignment horizontal="center" vertical="center" wrapText="1" shrinkToFit="1" readingOrder="1"/>
    </xf>
    <xf numFmtId="43" fontId="7" fillId="0" borderId="0" xfId="1" applyFont="1" applyAlignment="1">
      <alignment horizontal="right" vertical="center" wrapText="1" shrinkToFit="1" readingOrder="1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81</xdr:row>
      <xdr:rowOff>28575</xdr:rowOff>
    </xdr:from>
    <xdr:to>
      <xdr:col>12</xdr:col>
      <xdr:colOff>133350</xdr:colOff>
      <xdr:row>81</xdr:row>
      <xdr:rowOff>28575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/>
      </xdr:nvCxnSpPr>
      <xdr:spPr>
        <a:prstGeom prst="line">
          <a:avLst/>
        </a:prstGeom>
        <a:ln w="4762" algn="in">
          <a:solidFill>
            <a:srgbClr val="80808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N83"/>
  <sheetViews>
    <sheetView showGridLines="0" tabSelected="1" workbookViewId="0">
      <selection activeCell="Q21" sqref="Q21"/>
    </sheetView>
  </sheetViews>
  <sheetFormatPr baseColWidth="10" defaultRowHeight="14.4" x14ac:dyDescent="0.3"/>
  <cols>
    <col min="1" max="1" width="0.77734375" customWidth="1"/>
    <col min="2" max="2" width="1.77734375" customWidth="1"/>
    <col min="3" max="3" width="10.5546875" customWidth="1"/>
    <col min="4" max="4" width="3" customWidth="1"/>
    <col min="5" max="5" width="7" customWidth="1"/>
    <col min="6" max="6" width="23.77734375" customWidth="1"/>
    <col min="7" max="7" width="8.77734375" customWidth="1"/>
    <col min="8" max="8" width="13.44140625" customWidth="1"/>
    <col min="9" max="9" width="6.21875" style="20" customWidth="1"/>
    <col min="10" max="10" width="8" style="20" customWidth="1"/>
    <col min="11" max="11" width="13.77734375" customWidth="1"/>
    <col min="12" max="12" width="13.109375" customWidth="1"/>
    <col min="13" max="13" width="9.5546875" customWidth="1"/>
    <col min="14" max="14" width="0.77734375" customWidth="1"/>
  </cols>
  <sheetData>
    <row r="1" spans="1:14" ht="6" customHeight="1" x14ac:dyDescent="0.3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"/>
    </row>
    <row r="2" spans="1:14" ht="27.75" customHeight="1" x14ac:dyDescent="0.3">
      <c r="A2" s="15" t="s">
        <v>0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"/>
    </row>
    <row r="3" spans="1:14" ht="6" customHeight="1" x14ac:dyDescent="0.3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"/>
    </row>
    <row r="4" spans="1:14" ht="20.25" customHeight="1" x14ac:dyDescent="0.3">
      <c r="F4" s="16" t="s">
        <v>1</v>
      </c>
      <c r="G4" s="16"/>
      <c r="H4" s="16"/>
      <c r="I4" s="16"/>
      <c r="J4" s="16"/>
      <c r="K4" s="16"/>
      <c r="L4" s="16"/>
    </row>
    <row r="5" spans="1:14" ht="20.25" customHeight="1" x14ac:dyDescent="0.3">
      <c r="C5" s="17" t="s">
        <v>2</v>
      </c>
      <c r="D5" s="17"/>
      <c r="E5" s="17"/>
      <c r="F5" s="17"/>
      <c r="I5" s="21" t="s">
        <v>3</v>
      </c>
      <c r="J5" s="21"/>
      <c r="K5" s="18" t="s">
        <v>4</v>
      </c>
      <c r="L5" s="18"/>
    </row>
    <row r="6" spans="1:14" ht="2.25" customHeight="1" x14ac:dyDescent="0.3"/>
    <row r="7" spans="1:14" ht="20.25" customHeight="1" x14ac:dyDescent="0.3">
      <c r="C7" s="2" t="s">
        <v>5</v>
      </c>
      <c r="D7" s="19" t="s">
        <v>6</v>
      </c>
      <c r="E7" s="19"/>
      <c r="F7" s="19"/>
      <c r="G7" s="19"/>
      <c r="H7" s="3" t="s">
        <v>7</v>
      </c>
      <c r="I7" s="22" t="s">
        <v>8</v>
      </c>
      <c r="J7" s="22"/>
      <c r="K7" s="4" t="s">
        <v>9</v>
      </c>
      <c r="L7" s="4" t="s">
        <v>10</v>
      </c>
      <c r="M7" s="3" t="s">
        <v>75</v>
      </c>
    </row>
    <row r="8" spans="1:14" ht="1.5" customHeight="1" x14ac:dyDescent="0.3"/>
    <row r="9" spans="1:14" ht="14.25" customHeight="1" x14ac:dyDescent="0.3">
      <c r="C9" s="13" t="s">
        <v>11</v>
      </c>
      <c r="D9" s="13"/>
      <c r="E9" s="13"/>
      <c r="F9" s="13"/>
      <c r="G9" s="13"/>
      <c r="H9" s="13"/>
      <c r="I9" s="13"/>
      <c r="J9" s="13"/>
      <c r="K9" s="13"/>
      <c r="L9" s="13"/>
      <c r="M9" s="13"/>
    </row>
    <row r="10" spans="1:14" ht="14.25" customHeight="1" x14ac:dyDescent="0.3">
      <c r="C10" s="12" t="s">
        <v>12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</row>
    <row r="11" spans="1:14" ht="14.25" customHeight="1" x14ac:dyDescent="0.3">
      <c r="C11" s="5">
        <v>30041</v>
      </c>
      <c r="D11" s="8" t="s">
        <v>13</v>
      </c>
      <c r="E11" s="8"/>
      <c r="F11" s="8"/>
      <c r="G11" s="8"/>
      <c r="H11" s="6">
        <v>34400000</v>
      </c>
      <c r="I11" s="23">
        <v>168677.09760000001</v>
      </c>
      <c r="J11" s="23"/>
      <c r="K11" s="7">
        <v>167914.2432</v>
      </c>
      <c r="L11" s="7">
        <v>113520</v>
      </c>
      <c r="M11" s="7">
        <f>(H11*1.452%)*1.1</f>
        <v>549436.80000000005</v>
      </c>
    </row>
    <row r="12" spans="1:14" ht="14.25" customHeight="1" x14ac:dyDescent="0.3">
      <c r="C12" s="5">
        <v>31606</v>
      </c>
      <c r="D12" s="8" t="s">
        <v>14</v>
      </c>
      <c r="E12" s="8"/>
      <c r="F12" s="8"/>
      <c r="G12" s="8"/>
      <c r="H12" s="6">
        <v>44900000</v>
      </c>
      <c r="I12" s="23">
        <v>220162.83960000001</v>
      </c>
      <c r="J12" s="23"/>
      <c r="K12" s="7">
        <v>219167.1372</v>
      </c>
      <c r="L12" s="7">
        <v>148170</v>
      </c>
      <c r="M12" s="7">
        <f t="shared" ref="M12:M75" si="0">(H12*1.452%)*1.1</f>
        <v>717142.8</v>
      </c>
    </row>
    <row r="13" spans="1:14" ht="14.25" customHeight="1" x14ac:dyDescent="0.3">
      <c r="C13" s="5">
        <v>16461</v>
      </c>
      <c r="D13" s="8" t="s">
        <v>15</v>
      </c>
      <c r="E13" s="8"/>
      <c r="F13" s="8"/>
      <c r="G13" s="8"/>
      <c r="H13" s="6">
        <v>46400000</v>
      </c>
      <c r="I13" s="23">
        <v>227517.94560000001</v>
      </c>
      <c r="J13" s="23"/>
      <c r="K13" s="7">
        <v>226488.9792</v>
      </c>
      <c r="L13" s="7">
        <v>153120</v>
      </c>
      <c r="M13" s="7">
        <f t="shared" si="0"/>
        <v>741100.8</v>
      </c>
    </row>
    <row r="14" spans="1:14" ht="14.25" customHeight="1" x14ac:dyDescent="0.3">
      <c r="C14" s="12" t="s">
        <v>16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</row>
    <row r="15" spans="1:14" ht="14.25" customHeight="1" x14ac:dyDescent="0.3">
      <c r="C15" s="5">
        <v>37799</v>
      </c>
      <c r="D15" s="8" t="s">
        <v>17</v>
      </c>
      <c r="E15" s="8"/>
      <c r="F15" s="8"/>
      <c r="G15" s="8"/>
      <c r="H15" s="6">
        <v>42400000</v>
      </c>
      <c r="I15" s="23">
        <v>207904.3296</v>
      </c>
      <c r="J15" s="23"/>
      <c r="K15" s="7">
        <v>206964.06719999999</v>
      </c>
      <c r="L15" s="7">
        <v>139920</v>
      </c>
      <c r="M15" s="7">
        <f t="shared" si="0"/>
        <v>677212.8</v>
      </c>
    </row>
    <row r="16" spans="1:14" ht="14.25" customHeight="1" x14ac:dyDescent="0.3">
      <c r="C16" s="5">
        <v>30042</v>
      </c>
      <c r="D16" s="8" t="s">
        <v>18</v>
      </c>
      <c r="E16" s="8"/>
      <c r="F16" s="8"/>
      <c r="G16" s="8"/>
      <c r="H16" s="6">
        <v>34900000</v>
      </c>
      <c r="I16" s="23">
        <v>171128.7996</v>
      </c>
      <c r="J16" s="23"/>
      <c r="K16" s="7">
        <v>170354.8572</v>
      </c>
      <c r="L16" s="7">
        <v>115170</v>
      </c>
      <c r="M16" s="7">
        <f t="shared" si="0"/>
        <v>557422.80000000005</v>
      </c>
    </row>
    <row r="17" spans="3:13" ht="13.5" customHeight="1" x14ac:dyDescent="0.3">
      <c r="C17" s="12" t="s">
        <v>19</v>
      </c>
      <c r="D17" s="12"/>
      <c r="E17" s="12"/>
      <c r="F17" s="12"/>
      <c r="G17" s="12"/>
      <c r="H17" s="12"/>
      <c r="I17" s="12"/>
      <c r="J17" s="12"/>
      <c r="K17" s="12"/>
      <c r="L17" s="12"/>
      <c r="M17" s="12"/>
    </row>
    <row r="18" spans="3:13" ht="14.25" customHeight="1" x14ac:dyDescent="0.3">
      <c r="C18" s="5">
        <v>23642</v>
      </c>
      <c r="D18" s="8" t="s">
        <v>20</v>
      </c>
      <c r="E18" s="8"/>
      <c r="F18" s="8"/>
      <c r="G18" s="8"/>
      <c r="H18" s="6">
        <v>40900000</v>
      </c>
      <c r="I18" s="23">
        <v>200549.2236</v>
      </c>
      <c r="J18" s="23"/>
      <c r="K18" s="7">
        <v>199642.22519999999</v>
      </c>
      <c r="L18" s="7">
        <v>134970</v>
      </c>
      <c r="M18" s="7">
        <f t="shared" si="0"/>
        <v>653254.80000000005</v>
      </c>
    </row>
    <row r="19" spans="3:13" ht="14.25" customHeight="1" x14ac:dyDescent="0.3">
      <c r="C19" s="12" t="s">
        <v>21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</row>
    <row r="20" spans="3:13" ht="14.25" customHeight="1" x14ac:dyDescent="0.3">
      <c r="C20" s="5">
        <v>31607</v>
      </c>
      <c r="D20" s="8" t="s">
        <v>22</v>
      </c>
      <c r="E20" s="8"/>
      <c r="F20" s="8"/>
      <c r="G20" s="8"/>
      <c r="H20" s="6">
        <v>39900000</v>
      </c>
      <c r="I20" s="23">
        <v>195645.81959999999</v>
      </c>
      <c r="J20" s="23"/>
      <c r="K20" s="7">
        <v>194760.99720000001</v>
      </c>
      <c r="L20" s="7">
        <v>131670</v>
      </c>
      <c r="M20" s="7">
        <f t="shared" si="0"/>
        <v>637282.80000000005</v>
      </c>
    </row>
    <row r="21" spans="3:13" ht="14.25" customHeight="1" x14ac:dyDescent="0.3">
      <c r="C21" s="5">
        <v>15646</v>
      </c>
      <c r="D21" s="8" t="s">
        <v>23</v>
      </c>
      <c r="E21" s="8"/>
      <c r="F21" s="8"/>
      <c r="G21" s="8"/>
      <c r="H21" s="6">
        <v>41900000</v>
      </c>
      <c r="I21" s="23">
        <v>205452.62760000001</v>
      </c>
      <c r="J21" s="23"/>
      <c r="K21" s="7">
        <v>204523.45319999999</v>
      </c>
      <c r="L21" s="7">
        <v>138270</v>
      </c>
      <c r="M21" s="7">
        <f t="shared" si="0"/>
        <v>669226.80000000005</v>
      </c>
    </row>
    <row r="22" spans="3:13" ht="14.25" customHeight="1" x14ac:dyDescent="0.3">
      <c r="C22" s="5">
        <v>29558</v>
      </c>
      <c r="D22" s="8" t="s">
        <v>24</v>
      </c>
      <c r="E22" s="8"/>
      <c r="F22" s="8"/>
      <c r="G22" s="8"/>
      <c r="H22" s="6">
        <v>29900000</v>
      </c>
      <c r="I22" s="23">
        <v>146611.77960000001</v>
      </c>
      <c r="J22" s="23"/>
      <c r="K22" s="7">
        <v>145948.71720000001</v>
      </c>
      <c r="L22" s="7">
        <v>98670</v>
      </c>
      <c r="M22" s="7">
        <f t="shared" si="0"/>
        <v>477562.80000000005</v>
      </c>
    </row>
    <row r="23" spans="3:13" ht="14.25" customHeight="1" x14ac:dyDescent="0.3">
      <c r="C23" s="5">
        <v>19075</v>
      </c>
      <c r="D23" s="8" t="s">
        <v>25</v>
      </c>
      <c r="E23" s="8"/>
      <c r="F23" s="8"/>
      <c r="G23" s="8"/>
      <c r="H23" s="6">
        <v>41700000</v>
      </c>
      <c r="I23" s="23">
        <v>204471.94680000001</v>
      </c>
      <c r="J23" s="23"/>
      <c r="K23" s="7">
        <v>203547.20759999999</v>
      </c>
      <c r="L23" s="7">
        <v>137610</v>
      </c>
      <c r="M23" s="7">
        <f t="shared" si="0"/>
        <v>666032.4</v>
      </c>
    </row>
    <row r="24" spans="3:13" ht="14.25" customHeight="1" x14ac:dyDescent="0.3">
      <c r="C24" s="12" t="s">
        <v>26</v>
      </c>
      <c r="D24" s="12"/>
      <c r="E24" s="12"/>
      <c r="F24" s="12"/>
      <c r="G24" s="12"/>
      <c r="H24" s="12"/>
      <c r="I24" s="12"/>
      <c r="J24" s="12"/>
      <c r="K24" s="12"/>
      <c r="L24" s="12"/>
      <c r="M24" s="12"/>
    </row>
    <row r="25" spans="3:13" ht="14.25" customHeight="1" x14ac:dyDescent="0.3">
      <c r="C25" s="5">
        <v>29563</v>
      </c>
      <c r="D25" s="8" t="s">
        <v>27</v>
      </c>
      <c r="E25" s="8"/>
      <c r="F25" s="8"/>
      <c r="G25" s="8"/>
      <c r="H25" s="6">
        <v>64900000</v>
      </c>
      <c r="I25" s="23">
        <v>318230.91960000002</v>
      </c>
      <c r="J25" s="23"/>
      <c r="K25" s="7">
        <v>316791.6972</v>
      </c>
      <c r="L25" s="7">
        <v>214170</v>
      </c>
      <c r="M25" s="7">
        <f t="shared" si="0"/>
        <v>1036582.8</v>
      </c>
    </row>
    <row r="26" spans="3:13" ht="14.25" customHeight="1" x14ac:dyDescent="0.3">
      <c r="C26" s="12" t="s">
        <v>28</v>
      </c>
      <c r="D26" s="12"/>
      <c r="E26" s="12"/>
      <c r="F26" s="12"/>
      <c r="G26" s="12"/>
      <c r="H26" s="12"/>
      <c r="I26" s="12"/>
      <c r="J26" s="12"/>
      <c r="K26" s="12"/>
      <c r="L26" s="12"/>
      <c r="M26" s="12"/>
    </row>
    <row r="27" spans="3:13" ht="13.5" customHeight="1" x14ac:dyDescent="0.3">
      <c r="C27" s="5">
        <v>37800</v>
      </c>
      <c r="D27" s="8" t="s">
        <v>29</v>
      </c>
      <c r="E27" s="8"/>
      <c r="F27" s="8"/>
      <c r="G27" s="8"/>
      <c r="H27" s="6">
        <v>66900000</v>
      </c>
      <c r="I27" s="23">
        <v>328037.72759999998</v>
      </c>
      <c r="J27" s="23"/>
      <c r="K27" s="7">
        <v>326554.1532</v>
      </c>
      <c r="L27" s="7">
        <v>220770</v>
      </c>
      <c r="M27" s="7">
        <f t="shared" si="0"/>
        <v>1068526.8</v>
      </c>
    </row>
    <row r="28" spans="3:13" ht="14.25" customHeight="1" x14ac:dyDescent="0.3">
      <c r="C28" s="12" t="s">
        <v>30</v>
      </c>
      <c r="D28" s="12"/>
      <c r="E28" s="12"/>
      <c r="F28" s="12"/>
      <c r="G28" s="12"/>
      <c r="H28" s="12"/>
      <c r="I28" s="12"/>
      <c r="J28" s="12"/>
      <c r="K28" s="12"/>
      <c r="L28" s="12"/>
      <c r="M28" s="12"/>
    </row>
    <row r="29" spans="3:13" ht="14.25" customHeight="1" x14ac:dyDescent="0.3">
      <c r="C29" s="5">
        <v>16462</v>
      </c>
      <c r="D29" s="8" t="s">
        <v>31</v>
      </c>
      <c r="E29" s="8"/>
      <c r="F29" s="8"/>
      <c r="G29" s="8"/>
      <c r="H29" s="6">
        <v>47400000</v>
      </c>
      <c r="I29" s="23">
        <v>232421.34959999999</v>
      </c>
      <c r="J29" s="23"/>
      <c r="K29" s="7">
        <v>231370.2072</v>
      </c>
      <c r="L29" s="7">
        <v>156420</v>
      </c>
      <c r="M29" s="7">
        <f t="shared" si="0"/>
        <v>757072.8</v>
      </c>
    </row>
    <row r="30" spans="3:13" ht="14.25" customHeight="1" x14ac:dyDescent="0.3">
      <c r="C30" s="5">
        <v>16464</v>
      </c>
      <c r="D30" s="8" t="s">
        <v>32</v>
      </c>
      <c r="E30" s="8"/>
      <c r="F30" s="8"/>
      <c r="G30" s="8"/>
      <c r="H30" s="6">
        <v>41400000</v>
      </c>
      <c r="I30" s="23">
        <v>203000.92559999999</v>
      </c>
      <c r="J30" s="23"/>
      <c r="K30" s="7">
        <v>202082.83919999999</v>
      </c>
      <c r="L30" s="7">
        <v>136620</v>
      </c>
      <c r="M30" s="7">
        <f t="shared" si="0"/>
        <v>661240.80000000005</v>
      </c>
    </row>
    <row r="31" spans="3:13" ht="14.25" customHeight="1" x14ac:dyDescent="0.3">
      <c r="C31" s="12" t="s">
        <v>33</v>
      </c>
      <c r="D31" s="12"/>
      <c r="E31" s="12"/>
      <c r="F31" s="12"/>
      <c r="G31" s="12"/>
      <c r="H31" s="12"/>
      <c r="I31" s="12"/>
      <c r="J31" s="12"/>
      <c r="K31" s="12"/>
      <c r="L31" s="12"/>
      <c r="M31" s="12"/>
    </row>
    <row r="32" spans="3:13" ht="14.25" customHeight="1" x14ac:dyDescent="0.3">
      <c r="C32" s="5">
        <v>29557</v>
      </c>
      <c r="D32" s="8" t="s">
        <v>34</v>
      </c>
      <c r="E32" s="8"/>
      <c r="F32" s="8"/>
      <c r="G32" s="8"/>
      <c r="H32" s="6">
        <v>53900000</v>
      </c>
      <c r="I32" s="23">
        <v>264293.47560000001</v>
      </c>
      <c r="J32" s="23"/>
      <c r="K32" s="7">
        <v>263098.18920000002</v>
      </c>
      <c r="L32" s="7">
        <v>177870</v>
      </c>
      <c r="M32" s="7">
        <f t="shared" si="0"/>
        <v>860890.8</v>
      </c>
    </row>
    <row r="33" spans="3:13" ht="14.25" customHeight="1" x14ac:dyDescent="0.3">
      <c r="C33" s="5">
        <v>15658</v>
      </c>
      <c r="D33" s="8" t="s">
        <v>35</v>
      </c>
      <c r="E33" s="8"/>
      <c r="F33" s="8"/>
      <c r="G33" s="8"/>
      <c r="H33" s="6">
        <v>38400000</v>
      </c>
      <c r="I33" s="23">
        <v>188290.71359999999</v>
      </c>
      <c r="J33" s="23"/>
      <c r="K33" s="7">
        <v>187439.15520000001</v>
      </c>
      <c r="L33" s="7">
        <v>126720</v>
      </c>
      <c r="M33" s="7">
        <f t="shared" si="0"/>
        <v>613324.80000000005</v>
      </c>
    </row>
    <row r="34" spans="3:13" ht="14.25" customHeight="1" x14ac:dyDescent="0.3">
      <c r="C34" s="12" t="s">
        <v>36</v>
      </c>
      <c r="D34" s="12"/>
      <c r="E34" s="12"/>
      <c r="F34" s="12"/>
      <c r="G34" s="12"/>
      <c r="H34" s="12"/>
      <c r="I34" s="12"/>
      <c r="J34" s="12"/>
      <c r="K34" s="12"/>
      <c r="L34" s="12"/>
      <c r="M34" s="12"/>
    </row>
    <row r="35" spans="3:13" ht="14.25" customHeight="1" x14ac:dyDescent="0.3">
      <c r="C35" s="5">
        <v>19073</v>
      </c>
      <c r="D35" s="8" t="s">
        <v>37</v>
      </c>
      <c r="E35" s="8"/>
      <c r="F35" s="8"/>
      <c r="G35" s="8"/>
      <c r="H35" s="6">
        <v>46900000</v>
      </c>
      <c r="I35" s="23">
        <v>229969.6476</v>
      </c>
      <c r="J35" s="23"/>
      <c r="K35" s="7">
        <v>228929.5932</v>
      </c>
      <c r="L35" s="7">
        <v>154770</v>
      </c>
      <c r="M35" s="7">
        <f t="shared" si="0"/>
        <v>749086.8</v>
      </c>
    </row>
    <row r="36" spans="3:13" ht="13.5" customHeight="1" x14ac:dyDescent="0.3">
      <c r="C36" s="5">
        <v>34545</v>
      </c>
      <c r="D36" s="8" t="s">
        <v>38</v>
      </c>
      <c r="E36" s="8"/>
      <c r="F36" s="8"/>
      <c r="G36" s="8"/>
      <c r="H36" s="6">
        <v>28900000</v>
      </c>
      <c r="I36" s="23">
        <v>141708.3756</v>
      </c>
      <c r="J36" s="23"/>
      <c r="K36" s="7">
        <v>141067.48920000001</v>
      </c>
      <c r="L36" s="7">
        <v>95370</v>
      </c>
      <c r="M36" s="7">
        <f t="shared" si="0"/>
        <v>461590.80000000005</v>
      </c>
    </row>
    <row r="37" spans="3:13" ht="14.25" customHeight="1" x14ac:dyDescent="0.3">
      <c r="C37" s="5">
        <v>15665</v>
      </c>
      <c r="D37" s="8" t="s">
        <v>39</v>
      </c>
      <c r="E37" s="8"/>
      <c r="F37" s="8"/>
      <c r="G37" s="8"/>
      <c r="H37" s="6">
        <v>35900000</v>
      </c>
      <c r="I37" s="23">
        <v>176032.20360000001</v>
      </c>
      <c r="J37" s="23"/>
      <c r="K37" s="7">
        <v>175236.0852</v>
      </c>
      <c r="L37" s="7">
        <v>118470</v>
      </c>
      <c r="M37" s="7">
        <f t="shared" si="0"/>
        <v>573394.80000000005</v>
      </c>
    </row>
    <row r="38" spans="3:13" ht="14.25" customHeight="1" x14ac:dyDescent="0.3">
      <c r="C38" s="5">
        <v>19067</v>
      </c>
      <c r="D38" s="8" t="s">
        <v>40</v>
      </c>
      <c r="E38" s="8"/>
      <c r="F38" s="8"/>
      <c r="G38" s="8"/>
      <c r="H38" s="6">
        <v>39700000</v>
      </c>
      <c r="I38" s="23">
        <v>194665.13879999999</v>
      </c>
      <c r="J38" s="23"/>
      <c r="K38" s="7">
        <v>193784.75159999999</v>
      </c>
      <c r="L38" s="7">
        <v>131010</v>
      </c>
      <c r="M38" s="7">
        <f t="shared" si="0"/>
        <v>634088.4</v>
      </c>
    </row>
    <row r="39" spans="3:13" ht="14.25" customHeight="1" x14ac:dyDescent="0.3">
      <c r="C39" s="12" t="s">
        <v>41</v>
      </c>
      <c r="D39" s="12"/>
      <c r="E39" s="12"/>
      <c r="F39" s="12"/>
      <c r="G39" s="12"/>
      <c r="H39" s="12"/>
      <c r="I39" s="12"/>
      <c r="J39" s="12"/>
      <c r="K39" s="12"/>
      <c r="L39" s="12"/>
      <c r="M39" s="12"/>
    </row>
    <row r="40" spans="3:13" ht="14.25" customHeight="1" x14ac:dyDescent="0.3">
      <c r="C40" s="5">
        <v>19066</v>
      </c>
      <c r="D40" s="8" t="s">
        <v>42</v>
      </c>
      <c r="E40" s="8"/>
      <c r="F40" s="8"/>
      <c r="G40" s="8"/>
      <c r="H40" s="6">
        <v>48900000</v>
      </c>
      <c r="I40" s="23">
        <v>239776.45559999999</v>
      </c>
      <c r="J40" s="23"/>
      <c r="K40" s="7">
        <v>238692.04920000001</v>
      </c>
      <c r="L40" s="7">
        <v>161370</v>
      </c>
      <c r="M40" s="7">
        <f t="shared" si="0"/>
        <v>781030.8</v>
      </c>
    </row>
    <row r="41" spans="3:13" ht="14.25" customHeight="1" x14ac:dyDescent="0.3">
      <c r="C41" s="5">
        <v>15666</v>
      </c>
      <c r="D41" s="8" t="s">
        <v>43</v>
      </c>
      <c r="E41" s="8"/>
      <c r="F41" s="8"/>
      <c r="G41" s="8"/>
      <c r="H41" s="6">
        <v>42900000</v>
      </c>
      <c r="I41" s="23">
        <v>210356.03159999999</v>
      </c>
      <c r="J41" s="23"/>
      <c r="K41" s="7">
        <v>209404.68119999999</v>
      </c>
      <c r="L41" s="7">
        <v>141570</v>
      </c>
      <c r="M41" s="7">
        <f t="shared" si="0"/>
        <v>685198.8</v>
      </c>
    </row>
    <row r="42" spans="3:13" ht="14.25" customHeight="1" x14ac:dyDescent="0.3">
      <c r="C42" s="5">
        <v>16459</v>
      </c>
      <c r="D42" s="8" t="s">
        <v>44</v>
      </c>
      <c r="E42" s="8"/>
      <c r="F42" s="8"/>
      <c r="G42" s="8"/>
      <c r="H42" s="6">
        <v>86500000</v>
      </c>
      <c r="I42" s="23">
        <v>424144.446</v>
      </c>
      <c r="J42" s="23"/>
      <c r="K42" s="7">
        <v>422226.22200000001</v>
      </c>
      <c r="L42" s="7">
        <v>285450</v>
      </c>
      <c r="M42" s="7">
        <f t="shared" si="0"/>
        <v>1381578</v>
      </c>
    </row>
    <row r="43" spans="3:13" ht="14.25" customHeight="1" x14ac:dyDescent="0.3">
      <c r="C43" s="5">
        <v>27565</v>
      </c>
      <c r="D43" s="8" t="s">
        <v>45</v>
      </c>
      <c r="E43" s="8"/>
      <c r="F43" s="8"/>
      <c r="G43" s="8"/>
      <c r="H43" s="6">
        <v>37900000</v>
      </c>
      <c r="I43" s="23">
        <v>185839.0116</v>
      </c>
      <c r="J43" s="23"/>
      <c r="K43" s="7">
        <v>184998.54120000001</v>
      </c>
      <c r="L43" s="7">
        <v>125070</v>
      </c>
      <c r="M43" s="7">
        <f t="shared" si="0"/>
        <v>605338.80000000005</v>
      </c>
    </row>
    <row r="44" spans="3:13" ht="14.25" customHeight="1" x14ac:dyDescent="0.3">
      <c r="C44" s="12" t="s">
        <v>46</v>
      </c>
      <c r="D44" s="12"/>
      <c r="E44" s="12"/>
      <c r="F44" s="12"/>
      <c r="G44" s="12"/>
      <c r="H44" s="12"/>
      <c r="I44" s="12"/>
      <c r="J44" s="12"/>
      <c r="K44" s="12"/>
      <c r="L44" s="12"/>
      <c r="M44" s="12"/>
    </row>
    <row r="45" spans="3:13" ht="14.25" customHeight="1" x14ac:dyDescent="0.3">
      <c r="C45" s="5">
        <v>16465</v>
      </c>
      <c r="D45" s="8" t="s">
        <v>47</v>
      </c>
      <c r="E45" s="8"/>
      <c r="F45" s="8"/>
      <c r="G45" s="8"/>
      <c r="H45" s="6">
        <v>51700000</v>
      </c>
      <c r="I45" s="23">
        <v>253505.98680000001</v>
      </c>
      <c r="J45" s="23"/>
      <c r="K45" s="7">
        <v>252359.48759999999</v>
      </c>
      <c r="L45" s="7">
        <v>170610</v>
      </c>
      <c r="M45" s="7">
        <f t="shared" si="0"/>
        <v>825752.4</v>
      </c>
    </row>
    <row r="46" spans="3:13" ht="13.5" customHeight="1" x14ac:dyDescent="0.3">
      <c r="C46" s="5">
        <v>19068</v>
      </c>
      <c r="D46" s="8" t="s">
        <v>48</v>
      </c>
      <c r="E46" s="8"/>
      <c r="F46" s="8"/>
      <c r="G46" s="8"/>
      <c r="H46" s="6">
        <v>37900000</v>
      </c>
      <c r="I46" s="23">
        <v>185839.0116</v>
      </c>
      <c r="J46" s="23"/>
      <c r="K46" s="7">
        <v>184998.54120000001</v>
      </c>
      <c r="L46" s="7">
        <v>125070</v>
      </c>
      <c r="M46" s="7">
        <f t="shared" si="0"/>
        <v>605338.80000000005</v>
      </c>
    </row>
    <row r="47" spans="3:13" ht="14.25" customHeight="1" x14ac:dyDescent="0.3">
      <c r="C47" s="5">
        <v>16104</v>
      </c>
      <c r="D47" s="8" t="s">
        <v>49</v>
      </c>
      <c r="E47" s="8"/>
      <c r="F47" s="8"/>
      <c r="G47" s="8"/>
      <c r="H47" s="6">
        <v>54600000</v>
      </c>
      <c r="I47" s="23">
        <v>267725.85840000003</v>
      </c>
      <c r="J47" s="23"/>
      <c r="K47" s="7">
        <v>266515.04879999999</v>
      </c>
      <c r="L47" s="7">
        <v>180180</v>
      </c>
      <c r="M47" s="7">
        <f t="shared" si="0"/>
        <v>872071.20000000007</v>
      </c>
    </row>
    <row r="48" spans="3:13" ht="14.25" customHeight="1" x14ac:dyDescent="0.3">
      <c r="C48" s="5">
        <v>15672</v>
      </c>
      <c r="D48" s="8" t="s">
        <v>50</v>
      </c>
      <c r="E48" s="8"/>
      <c r="F48" s="8"/>
      <c r="G48" s="8"/>
      <c r="H48" s="6">
        <v>73500000</v>
      </c>
      <c r="I48" s="23">
        <v>360400.19400000002</v>
      </c>
      <c r="J48" s="23"/>
      <c r="K48" s="7">
        <v>358770.25799999997</v>
      </c>
      <c r="L48" s="7">
        <v>242550</v>
      </c>
      <c r="M48" s="7">
        <f t="shared" si="0"/>
        <v>1173942</v>
      </c>
    </row>
    <row r="49" spans="3:13" ht="14.25" customHeight="1" x14ac:dyDescent="0.3">
      <c r="C49" s="5">
        <v>34547</v>
      </c>
      <c r="D49" s="8" t="s">
        <v>51</v>
      </c>
      <c r="E49" s="8"/>
      <c r="F49" s="8"/>
      <c r="G49" s="8"/>
      <c r="H49" s="6">
        <v>51900000</v>
      </c>
      <c r="I49" s="23">
        <v>254486.66759999999</v>
      </c>
      <c r="J49" s="23"/>
      <c r="K49" s="7">
        <v>253335.73319999999</v>
      </c>
      <c r="L49" s="7">
        <v>171270</v>
      </c>
      <c r="M49" s="7">
        <f t="shared" si="0"/>
        <v>828946.8</v>
      </c>
    </row>
    <row r="50" spans="3:13" ht="14.25" customHeight="1" x14ac:dyDescent="0.3">
      <c r="C50" s="13" t="s">
        <v>52</v>
      </c>
      <c r="D50" s="13"/>
      <c r="E50" s="13"/>
      <c r="F50" s="13"/>
      <c r="G50" s="13"/>
      <c r="H50" s="13"/>
      <c r="I50" s="13"/>
      <c r="J50" s="13"/>
      <c r="K50" s="13"/>
      <c r="L50" s="13"/>
      <c r="M50" s="13"/>
    </row>
    <row r="51" spans="3:13" ht="14.25" customHeight="1" x14ac:dyDescent="0.3">
      <c r="C51" s="12" t="s">
        <v>26</v>
      </c>
      <c r="D51" s="12"/>
      <c r="E51" s="12"/>
      <c r="F51" s="12"/>
      <c r="G51" s="12"/>
      <c r="H51" s="12"/>
      <c r="I51" s="12"/>
      <c r="J51" s="12"/>
      <c r="K51" s="12"/>
      <c r="L51" s="12"/>
      <c r="M51" s="12"/>
    </row>
    <row r="52" spans="3:13" ht="14.25" customHeight="1" x14ac:dyDescent="0.3">
      <c r="C52" s="5">
        <v>29561</v>
      </c>
      <c r="D52" s="8" t="s">
        <v>53</v>
      </c>
      <c r="E52" s="8"/>
      <c r="F52" s="8"/>
      <c r="G52" s="8"/>
      <c r="H52" s="6">
        <v>77900000</v>
      </c>
      <c r="I52" s="23">
        <v>381975.1716</v>
      </c>
      <c r="J52" s="23"/>
      <c r="K52" s="7">
        <v>380247.66119999997</v>
      </c>
      <c r="L52" s="7">
        <v>257070</v>
      </c>
      <c r="M52" s="7">
        <f t="shared" si="0"/>
        <v>1244218.8</v>
      </c>
    </row>
    <row r="53" spans="3:13" ht="14.25" customHeight="1" x14ac:dyDescent="0.3">
      <c r="C53" s="12" t="s">
        <v>54</v>
      </c>
      <c r="D53" s="12"/>
      <c r="E53" s="12"/>
      <c r="F53" s="12"/>
      <c r="G53" s="12"/>
      <c r="H53" s="12"/>
      <c r="I53" s="12"/>
      <c r="J53" s="12"/>
      <c r="K53" s="12"/>
      <c r="L53" s="12"/>
      <c r="M53" s="12"/>
    </row>
    <row r="54" spans="3:13" ht="14.25" customHeight="1" x14ac:dyDescent="0.3">
      <c r="C54" s="5">
        <v>30040</v>
      </c>
      <c r="D54" s="8" t="s">
        <v>55</v>
      </c>
      <c r="E54" s="8"/>
      <c r="F54" s="8"/>
      <c r="G54" s="8"/>
      <c r="H54" s="6">
        <v>122900000</v>
      </c>
      <c r="I54" s="23">
        <v>602628.35160000005</v>
      </c>
      <c r="J54" s="23"/>
      <c r="K54" s="7">
        <v>599902.92119999998</v>
      </c>
      <c r="L54" s="7">
        <v>405570</v>
      </c>
      <c r="M54" s="7">
        <f t="shared" si="0"/>
        <v>1962958.8</v>
      </c>
    </row>
    <row r="55" spans="3:13" ht="14.25" customHeight="1" x14ac:dyDescent="0.3">
      <c r="C55" s="13" t="s">
        <v>56</v>
      </c>
      <c r="D55" s="13"/>
      <c r="E55" s="13"/>
      <c r="F55" s="13"/>
      <c r="G55" s="13"/>
      <c r="H55" s="13"/>
      <c r="I55" s="13"/>
      <c r="J55" s="13"/>
      <c r="K55" s="13"/>
      <c r="L55" s="13"/>
      <c r="M55" s="13"/>
    </row>
    <row r="56" spans="3:13" ht="13.5" customHeight="1" x14ac:dyDescent="0.3">
      <c r="C56" s="12" t="s">
        <v>12</v>
      </c>
      <c r="D56" s="12"/>
      <c r="E56" s="12"/>
      <c r="F56" s="12"/>
      <c r="G56" s="12"/>
      <c r="H56" s="12"/>
      <c r="I56" s="12"/>
      <c r="J56" s="12"/>
      <c r="K56" s="12"/>
      <c r="L56" s="12"/>
      <c r="M56" s="12"/>
    </row>
    <row r="57" spans="3:13" ht="14.25" customHeight="1" x14ac:dyDescent="0.3">
      <c r="C57" s="5">
        <v>34544</v>
      </c>
      <c r="D57" s="8" t="s">
        <v>57</v>
      </c>
      <c r="E57" s="8"/>
      <c r="F57" s="8"/>
      <c r="G57" s="8"/>
      <c r="H57" s="6">
        <v>45900000</v>
      </c>
      <c r="I57" s="23">
        <v>225066.24359999999</v>
      </c>
      <c r="J57" s="23"/>
      <c r="K57" s="7">
        <v>224048.3652</v>
      </c>
      <c r="L57" s="7">
        <v>151470</v>
      </c>
      <c r="M57" s="7">
        <f t="shared" si="0"/>
        <v>733114.8</v>
      </c>
    </row>
    <row r="58" spans="3:13" ht="14.25" customHeight="1" x14ac:dyDescent="0.3">
      <c r="C58" s="5">
        <v>15643</v>
      </c>
      <c r="D58" s="8" t="s">
        <v>58</v>
      </c>
      <c r="E58" s="8"/>
      <c r="F58" s="8"/>
      <c r="G58" s="8"/>
      <c r="H58" s="6">
        <v>51900000</v>
      </c>
      <c r="I58" s="23">
        <v>254486.66759999999</v>
      </c>
      <c r="J58" s="23"/>
      <c r="K58" s="7">
        <v>253335.73319999999</v>
      </c>
      <c r="L58" s="7">
        <v>171270</v>
      </c>
      <c r="M58" s="7">
        <f t="shared" si="0"/>
        <v>828946.8</v>
      </c>
    </row>
    <row r="59" spans="3:13" ht="14.25" customHeight="1" x14ac:dyDescent="0.3">
      <c r="C59" s="12" t="s">
        <v>21</v>
      </c>
      <c r="D59" s="12"/>
      <c r="E59" s="12"/>
      <c r="F59" s="12"/>
      <c r="G59" s="12"/>
      <c r="H59" s="12"/>
      <c r="I59" s="12"/>
      <c r="J59" s="12"/>
      <c r="K59" s="12"/>
      <c r="L59" s="12"/>
      <c r="M59" s="12"/>
    </row>
    <row r="60" spans="3:13" ht="14.25" customHeight="1" x14ac:dyDescent="0.3">
      <c r="C60" s="5">
        <v>30043</v>
      </c>
      <c r="D60" s="8" t="s">
        <v>59</v>
      </c>
      <c r="E60" s="8"/>
      <c r="F60" s="8"/>
      <c r="G60" s="8"/>
      <c r="H60" s="6">
        <v>39900000</v>
      </c>
      <c r="I60" s="23">
        <v>195645.81959999999</v>
      </c>
      <c r="J60" s="23"/>
      <c r="K60" s="7">
        <v>194760.99720000001</v>
      </c>
      <c r="L60" s="7">
        <v>131670</v>
      </c>
      <c r="M60" s="7">
        <f t="shared" si="0"/>
        <v>637282.80000000005</v>
      </c>
    </row>
    <row r="61" spans="3:13" ht="14.25" customHeight="1" x14ac:dyDescent="0.3">
      <c r="C61" s="5">
        <v>31608</v>
      </c>
      <c r="D61" s="8" t="s">
        <v>60</v>
      </c>
      <c r="E61" s="8"/>
      <c r="F61" s="8"/>
      <c r="G61" s="8"/>
      <c r="H61" s="6">
        <v>50900000</v>
      </c>
      <c r="I61" s="23">
        <v>249583.26360000001</v>
      </c>
      <c r="J61" s="23"/>
      <c r="K61" s="7">
        <v>248454.50520000001</v>
      </c>
      <c r="L61" s="7">
        <v>167970</v>
      </c>
      <c r="M61" s="7">
        <f t="shared" si="0"/>
        <v>812974.8</v>
      </c>
    </row>
    <row r="62" spans="3:13" ht="14.25" customHeight="1" x14ac:dyDescent="0.3">
      <c r="C62" s="12" t="s">
        <v>26</v>
      </c>
      <c r="D62" s="12"/>
      <c r="E62" s="12"/>
      <c r="F62" s="12"/>
      <c r="G62" s="12"/>
      <c r="H62" s="12"/>
      <c r="I62" s="12"/>
      <c r="J62" s="12"/>
      <c r="K62" s="12"/>
      <c r="L62" s="12"/>
      <c r="M62" s="12"/>
    </row>
    <row r="63" spans="3:13" ht="14.25" customHeight="1" x14ac:dyDescent="0.3">
      <c r="C63" s="5">
        <v>29564</v>
      </c>
      <c r="D63" s="8" t="s">
        <v>61</v>
      </c>
      <c r="E63" s="8"/>
      <c r="F63" s="8"/>
      <c r="G63" s="8"/>
      <c r="H63" s="6">
        <v>57500000</v>
      </c>
      <c r="I63" s="23">
        <v>281945.73</v>
      </c>
      <c r="J63" s="23"/>
      <c r="K63" s="7">
        <v>280670.61</v>
      </c>
      <c r="L63" s="7">
        <v>189750</v>
      </c>
      <c r="M63" s="7">
        <f t="shared" si="0"/>
        <v>918390.00000000012</v>
      </c>
    </row>
    <row r="64" spans="3:13" ht="14.25" customHeight="1" x14ac:dyDescent="0.3">
      <c r="C64" s="5">
        <v>15651</v>
      </c>
      <c r="D64" s="8" t="s">
        <v>62</v>
      </c>
      <c r="E64" s="8"/>
      <c r="F64" s="8"/>
      <c r="G64" s="8"/>
      <c r="H64" s="6">
        <v>51900000</v>
      </c>
      <c r="I64" s="23">
        <v>254486.66759999999</v>
      </c>
      <c r="J64" s="23"/>
      <c r="K64" s="7">
        <v>253335.73319999999</v>
      </c>
      <c r="L64" s="7">
        <v>171270</v>
      </c>
      <c r="M64" s="7">
        <f t="shared" si="0"/>
        <v>828946.8</v>
      </c>
    </row>
    <row r="65" spans="3:13" ht="14.25" customHeight="1" x14ac:dyDescent="0.3">
      <c r="C65" s="12" t="s">
        <v>30</v>
      </c>
      <c r="D65" s="12"/>
      <c r="E65" s="12"/>
      <c r="F65" s="12"/>
      <c r="G65" s="12"/>
      <c r="H65" s="12"/>
      <c r="I65" s="12"/>
      <c r="J65" s="12"/>
      <c r="K65" s="12"/>
      <c r="L65" s="12"/>
      <c r="M65" s="12"/>
    </row>
    <row r="66" spans="3:13" ht="13.5" customHeight="1" x14ac:dyDescent="0.3">
      <c r="C66" s="5">
        <v>16463</v>
      </c>
      <c r="D66" s="8" t="s">
        <v>63</v>
      </c>
      <c r="E66" s="8"/>
      <c r="F66" s="8"/>
      <c r="G66" s="8"/>
      <c r="H66" s="6">
        <v>49900000</v>
      </c>
      <c r="I66" s="23">
        <v>244679.8596</v>
      </c>
      <c r="J66" s="23"/>
      <c r="K66" s="7">
        <v>243573.27720000001</v>
      </c>
      <c r="L66" s="7">
        <v>164670</v>
      </c>
      <c r="M66" s="7">
        <f t="shared" si="0"/>
        <v>797002.8</v>
      </c>
    </row>
    <row r="67" spans="3:13" ht="14.25" customHeight="1" x14ac:dyDescent="0.3">
      <c r="C67" s="12" t="s">
        <v>33</v>
      </c>
      <c r="D67" s="12"/>
      <c r="E67" s="12"/>
      <c r="F67" s="12"/>
      <c r="G67" s="12"/>
      <c r="H67" s="12"/>
      <c r="I67" s="12"/>
      <c r="J67" s="12"/>
      <c r="K67" s="12"/>
      <c r="L67" s="12"/>
      <c r="M67" s="12"/>
    </row>
    <row r="68" spans="3:13" ht="14.25" customHeight="1" x14ac:dyDescent="0.3">
      <c r="C68" s="5">
        <v>15661</v>
      </c>
      <c r="D68" s="8" t="s">
        <v>64</v>
      </c>
      <c r="E68" s="8"/>
      <c r="F68" s="8"/>
      <c r="G68" s="8"/>
      <c r="H68" s="6">
        <v>75900000</v>
      </c>
      <c r="I68" s="23">
        <v>372168.36359999998</v>
      </c>
      <c r="J68" s="23"/>
      <c r="K68" s="7">
        <v>370485.20520000003</v>
      </c>
      <c r="L68" s="7">
        <v>250470</v>
      </c>
      <c r="M68" s="7">
        <f t="shared" si="0"/>
        <v>1212274.8</v>
      </c>
    </row>
    <row r="69" spans="3:13" ht="14.25" customHeight="1" x14ac:dyDescent="0.3">
      <c r="C69" s="12" t="s">
        <v>36</v>
      </c>
      <c r="D69" s="12"/>
      <c r="E69" s="12"/>
      <c r="F69" s="12"/>
      <c r="G69" s="12"/>
      <c r="H69" s="12"/>
      <c r="I69" s="12"/>
      <c r="J69" s="12"/>
      <c r="K69" s="12"/>
      <c r="L69" s="12"/>
      <c r="M69" s="12"/>
    </row>
    <row r="70" spans="3:13" ht="14.25" customHeight="1" x14ac:dyDescent="0.3">
      <c r="C70" s="5">
        <v>16467</v>
      </c>
      <c r="D70" s="8" t="s">
        <v>65</v>
      </c>
      <c r="E70" s="8"/>
      <c r="F70" s="8"/>
      <c r="G70" s="8"/>
      <c r="H70" s="6">
        <v>61900000</v>
      </c>
      <c r="I70" s="23">
        <v>303520.70760000002</v>
      </c>
      <c r="J70" s="23"/>
      <c r="K70" s="7">
        <v>302148.01319999999</v>
      </c>
      <c r="L70" s="7">
        <v>204270</v>
      </c>
      <c r="M70" s="7">
        <f t="shared" si="0"/>
        <v>988666.8</v>
      </c>
    </row>
    <row r="71" spans="3:13" ht="20.25" customHeight="1" x14ac:dyDescent="0.3">
      <c r="C71" s="5">
        <v>15664</v>
      </c>
      <c r="D71" s="8" t="s">
        <v>66</v>
      </c>
      <c r="E71" s="8"/>
      <c r="F71" s="8"/>
      <c r="G71" s="8"/>
      <c r="H71" s="6">
        <v>43900000</v>
      </c>
      <c r="I71" s="23">
        <v>215259.4356</v>
      </c>
      <c r="J71" s="23"/>
      <c r="K71" s="7">
        <v>214285.90919999999</v>
      </c>
      <c r="L71" s="7">
        <v>144870</v>
      </c>
      <c r="M71" s="7">
        <f t="shared" si="0"/>
        <v>701170.8</v>
      </c>
    </row>
    <row r="72" spans="3:13" ht="14.25" customHeight="1" x14ac:dyDescent="0.3">
      <c r="C72" s="5">
        <v>16102</v>
      </c>
      <c r="D72" s="8" t="s">
        <v>67</v>
      </c>
      <c r="E72" s="8"/>
      <c r="F72" s="8"/>
      <c r="G72" s="8"/>
      <c r="H72" s="6">
        <v>79900000</v>
      </c>
      <c r="I72" s="23">
        <v>391781.97960000002</v>
      </c>
      <c r="J72" s="23"/>
      <c r="K72" s="7">
        <v>390010.11719999998</v>
      </c>
      <c r="L72" s="7">
        <v>263670</v>
      </c>
      <c r="M72" s="7">
        <f t="shared" si="0"/>
        <v>1276162.8</v>
      </c>
    </row>
    <row r="73" spans="3:13" ht="14.25" customHeight="1" x14ac:dyDescent="0.3">
      <c r="C73" s="5">
        <v>19074</v>
      </c>
      <c r="D73" s="8" t="s">
        <v>68</v>
      </c>
      <c r="E73" s="8"/>
      <c r="F73" s="8"/>
      <c r="G73" s="8"/>
      <c r="H73" s="6">
        <v>49900000</v>
      </c>
      <c r="I73" s="23">
        <v>244679.8596</v>
      </c>
      <c r="J73" s="23"/>
      <c r="K73" s="7">
        <v>243573.27720000001</v>
      </c>
      <c r="L73" s="7">
        <v>164670</v>
      </c>
      <c r="M73" s="7">
        <f t="shared" si="0"/>
        <v>797002.8</v>
      </c>
    </row>
    <row r="74" spans="3:13" ht="14.25" customHeight="1" x14ac:dyDescent="0.3">
      <c r="C74" s="12" t="s">
        <v>41</v>
      </c>
      <c r="D74" s="12"/>
      <c r="E74" s="12"/>
      <c r="F74" s="12"/>
      <c r="G74" s="12"/>
      <c r="H74" s="12"/>
      <c r="I74" s="12"/>
      <c r="J74" s="12"/>
      <c r="K74" s="12"/>
      <c r="L74" s="12"/>
      <c r="M74" s="12"/>
    </row>
    <row r="75" spans="3:13" ht="14.25" customHeight="1" x14ac:dyDescent="0.3">
      <c r="C75" s="5">
        <v>15667</v>
      </c>
      <c r="D75" s="8" t="s">
        <v>69</v>
      </c>
      <c r="E75" s="8"/>
      <c r="F75" s="8"/>
      <c r="G75" s="8"/>
      <c r="H75" s="6">
        <v>54900000</v>
      </c>
      <c r="I75" s="23">
        <v>269196.87959999999</v>
      </c>
      <c r="J75" s="23"/>
      <c r="K75" s="7">
        <v>267979.41720000003</v>
      </c>
      <c r="L75" s="7">
        <v>181170</v>
      </c>
      <c r="M75" s="7">
        <f t="shared" si="0"/>
        <v>876862.8</v>
      </c>
    </row>
    <row r="76" spans="3:13" ht="14.25" customHeight="1" x14ac:dyDescent="0.3">
      <c r="C76" s="12" t="s">
        <v>46</v>
      </c>
      <c r="D76" s="12"/>
      <c r="E76" s="12"/>
      <c r="F76" s="12"/>
      <c r="G76" s="12"/>
      <c r="H76" s="12"/>
      <c r="I76" s="12"/>
      <c r="J76" s="12"/>
      <c r="K76" s="12"/>
      <c r="L76" s="12"/>
      <c r="M76" s="12"/>
    </row>
    <row r="77" spans="3:13" ht="14.25" customHeight="1" x14ac:dyDescent="0.3">
      <c r="C77" s="5">
        <v>29560</v>
      </c>
      <c r="D77" s="8" t="s">
        <v>70</v>
      </c>
      <c r="E77" s="8"/>
      <c r="F77" s="8"/>
      <c r="G77" s="8"/>
      <c r="H77" s="6">
        <v>88900000</v>
      </c>
      <c r="I77" s="23">
        <v>435912.61560000002</v>
      </c>
      <c r="J77" s="23"/>
      <c r="K77" s="7">
        <v>433941.1692</v>
      </c>
      <c r="L77" s="7">
        <v>293370</v>
      </c>
      <c r="M77" s="7">
        <f t="shared" ref="M77:M78" si="1">(H77*1.452%)*1.1</f>
        <v>1419910.8</v>
      </c>
    </row>
    <row r="78" spans="3:13" ht="14.25" customHeight="1" x14ac:dyDescent="0.3">
      <c r="C78" s="5">
        <v>28006</v>
      </c>
      <c r="D78" s="8" t="s">
        <v>71</v>
      </c>
      <c r="E78" s="8"/>
      <c r="F78" s="8"/>
      <c r="G78" s="8"/>
      <c r="H78" s="6">
        <v>43900000</v>
      </c>
      <c r="I78" s="23">
        <v>215259.4356</v>
      </c>
      <c r="J78" s="23"/>
      <c r="K78" s="7">
        <v>214285.90919999999</v>
      </c>
      <c r="L78" s="7">
        <v>144870</v>
      </c>
      <c r="M78" s="7">
        <f t="shared" si="1"/>
        <v>701170.8</v>
      </c>
    </row>
    <row r="79" spans="3:13" ht="3.75" customHeight="1" x14ac:dyDescent="0.3"/>
    <row r="80" spans="3:13" ht="39.75" customHeight="1" x14ac:dyDescent="0.3">
      <c r="C80" s="9" t="s">
        <v>72</v>
      </c>
      <c r="D80" s="9"/>
      <c r="E80" s="9"/>
      <c r="F80" s="9"/>
      <c r="G80" s="9"/>
      <c r="H80" s="9"/>
      <c r="I80" s="9"/>
      <c r="J80" s="9"/>
      <c r="K80" s="9"/>
      <c r="L80" s="9"/>
    </row>
    <row r="81" spans="2:13" ht="3.75" customHeight="1" x14ac:dyDescent="0.3"/>
    <row r="82" spans="2:13" ht="4.5" customHeight="1" x14ac:dyDescent="0.3"/>
    <row r="83" spans="2:13" ht="16.5" customHeight="1" x14ac:dyDescent="0.3">
      <c r="B83" s="10" t="s">
        <v>73</v>
      </c>
      <c r="C83" s="10"/>
      <c r="D83" s="10"/>
      <c r="J83" s="11" t="s">
        <v>74</v>
      </c>
      <c r="K83" s="11"/>
      <c r="L83" s="11"/>
      <c r="M83" s="11"/>
    </row>
  </sheetData>
  <mergeCells count="128">
    <mergeCell ref="A1:M1"/>
    <mergeCell ref="A2:M2"/>
    <mergeCell ref="A3:M3"/>
    <mergeCell ref="F4:L4"/>
    <mergeCell ref="C5:F5"/>
    <mergeCell ref="I5:J5"/>
    <mergeCell ref="K5:L5"/>
    <mergeCell ref="D7:G7"/>
    <mergeCell ref="I7:J7"/>
    <mergeCell ref="D11:G11"/>
    <mergeCell ref="I11:J11"/>
    <mergeCell ref="D12:G12"/>
    <mergeCell ref="I12:J12"/>
    <mergeCell ref="D13:G13"/>
    <mergeCell ref="I13:J13"/>
    <mergeCell ref="C14:M14"/>
    <mergeCell ref="C10:M10"/>
    <mergeCell ref="C9:M9"/>
    <mergeCell ref="D15:G15"/>
    <mergeCell ref="I15:J15"/>
    <mergeCell ref="D16:G16"/>
    <mergeCell ref="I16:J16"/>
    <mergeCell ref="D18:G18"/>
    <mergeCell ref="I18:J18"/>
    <mergeCell ref="D20:G20"/>
    <mergeCell ref="I20:J20"/>
    <mergeCell ref="C19:M19"/>
    <mergeCell ref="C17:M17"/>
    <mergeCell ref="D21:G21"/>
    <mergeCell ref="I21:J21"/>
    <mergeCell ref="D22:G22"/>
    <mergeCell ref="I22:J22"/>
    <mergeCell ref="D23:G23"/>
    <mergeCell ref="I23:J23"/>
    <mergeCell ref="D25:G25"/>
    <mergeCell ref="I25:J25"/>
    <mergeCell ref="C24:M24"/>
    <mergeCell ref="D27:G27"/>
    <mergeCell ref="I27:J27"/>
    <mergeCell ref="D29:G29"/>
    <mergeCell ref="I29:J29"/>
    <mergeCell ref="D30:G30"/>
    <mergeCell ref="I30:J30"/>
    <mergeCell ref="C31:M31"/>
    <mergeCell ref="C28:M28"/>
    <mergeCell ref="C26:M26"/>
    <mergeCell ref="D32:G32"/>
    <mergeCell ref="I32:J32"/>
    <mergeCell ref="D33:G33"/>
    <mergeCell ref="I33:J33"/>
    <mergeCell ref="D35:G35"/>
    <mergeCell ref="I35:J35"/>
    <mergeCell ref="D36:G36"/>
    <mergeCell ref="I36:J36"/>
    <mergeCell ref="C34:M34"/>
    <mergeCell ref="D37:G37"/>
    <mergeCell ref="I37:J37"/>
    <mergeCell ref="D38:G38"/>
    <mergeCell ref="I38:J38"/>
    <mergeCell ref="D40:G40"/>
    <mergeCell ref="I40:J40"/>
    <mergeCell ref="D41:G41"/>
    <mergeCell ref="I41:J41"/>
    <mergeCell ref="C39:M39"/>
    <mergeCell ref="D42:G42"/>
    <mergeCell ref="I42:J42"/>
    <mergeCell ref="D43:G43"/>
    <mergeCell ref="I43:J43"/>
    <mergeCell ref="D45:G45"/>
    <mergeCell ref="I45:J45"/>
    <mergeCell ref="D46:G46"/>
    <mergeCell ref="I46:J46"/>
    <mergeCell ref="C44:M44"/>
    <mergeCell ref="C53:M53"/>
    <mergeCell ref="D47:G47"/>
    <mergeCell ref="I47:J47"/>
    <mergeCell ref="D48:G48"/>
    <mergeCell ref="I48:J48"/>
    <mergeCell ref="D49:G49"/>
    <mergeCell ref="I49:J49"/>
    <mergeCell ref="D52:G52"/>
    <mergeCell ref="I52:J52"/>
    <mergeCell ref="C51:M51"/>
    <mergeCell ref="C50:M50"/>
    <mergeCell ref="C59:M59"/>
    <mergeCell ref="D54:G54"/>
    <mergeCell ref="I54:J54"/>
    <mergeCell ref="D57:G57"/>
    <mergeCell ref="I57:J57"/>
    <mergeCell ref="D58:G58"/>
    <mergeCell ref="I58:J58"/>
    <mergeCell ref="C56:M56"/>
    <mergeCell ref="C55:M55"/>
    <mergeCell ref="D60:G60"/>
    <mergeCell ref="I60:J60"/>
    <mergeCell ref="D61:G61"/>
    <mergeCell ref="I61:J61"/>
    <mergeCell ref="D63:G63"/>
    <mergeCell ref="I63:J63"/>
    <mergeCell ref="D64:G64"/>
    <mergeCell ref="I64:J64"/>
    <mergeCell ref="C62:M62"/>
    <mergeCell ref="D66:G66"/>
    <mergeCell ref="I66:J66"/>
    <mergeCell ref="D68:G68"/>
    <mergeCell ref="I68:J68"/>
    <mergeCell ref="D70:G70"/>
    <mergeCell ref="I70:J70"/>
    <mergeCell ref="C69:M69"/>
    <mergeCell ref="C67:M67"/>
    <mergeCell ref="C65:M65"/>
    <mergeCell ref="D77:G77"/>
    <mergeCell ref="I77:J77"/>
    <mergeCell ref="D78:G78"/>
    <mergeCell ref="I78:J78"/>
    <mergeCell ref="C80:L80"/>
    <mergeCell ref="B83:D83"/>
    <mergeCell ref="J83:M83"/>
    <mergeCell ref="C76:M76"/>
    <mergeCell ref="D71:G71"/>
    <mergeCell ref="I71:J71"/>
    <mergeCell ref="D72:G72"/>
    <mergeCell ref="I72:J72"/>
    <mergeCell ref="D73:G73"/>
    <mergeCell ref="I73:J73"/>
    <mergeCell ref="D75:G75"/>
    <mergeCell ref="I75:J75"/>
    <mergeCell ref="C74:M74"/>
  </mergeCells>
  <pageMargins left="0" right="0" top="0" bottom="0.28999999165534973" header="0.3" footer="0.3"/>
  <pageSetup paperSize="77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Peralta</dc:creator>
  <cp:lastModifiedBy>Maxi Martínez</cp:lastModifiedBy>
  <dcterms:created xsi:type="dcterms:W3CDTF">2025-10-21T01:26:57Z</dcterms:created>
  <dcterms:modified xsi:type="dcterms:W3CDTF">2025-11-06T02:50:04Z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19.2.13.0</vt:lpwstr>
  </property>
</Properties>
</file>