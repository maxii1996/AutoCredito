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listas vigentes\"/>
    </mc:Choice>
  </mc:AlternateContent>
  <xr:revisionPtr revIDLastSave="0" documentId="8_{DEE5481E-D1EA-40FA-B95C-4FF3E4B282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14" i="1"/>
  <c r="M15" i="1"/>
  <c r="M16" i="1"/>
  <c r="M18" i="1"/>
  <c r="M19" i="1"/>
  <c r="M20" i="1"/>
  <c r="M21" i="1"/>
  <c r="M22" i="1"/>
  <c r="M24" i="1"/>
  <c r="M25" i="1"/>
  <c r="M27" i="1"/>
  <c r="M11" i="1"/>
</calcChain>
</file>

<file path=xl/sharedStrings.xml><?xml version="1.0" encoding="utf-8"?>
<sst xmlns="http://schemas.openxmlformats.org/spreadsheetml/2006/main" count="33" uniqueCount="33">
  <si>
    <t>MOTOS 0KM + DINERO</t>
  </si>
  <si>
    <t>**CAMPAÑA 2025-11</t>
  </si>
  <si>
    <t>21-10-2025 al 20-11-2025 - Plan 300 V032019</t>
  </si>
  <si>
    <t>Derecho de ingreso</t>
  </si>
  <si>
    <t>Cuota comercial del mes</t>
  </si>
  <si>
    <t>Código</t>
  </si>
  <si>
    <t>Descripción</t>
  </si>
  <si>
    <t xml:space="preserve"> Valor Nominal</t>
  </si>
  <si>
    <t>Suscripción</t>
  </si>
  <si>
    <t>Cuota 1 a 7</t>
  </si>
  <si>
    <t>Cuota 8 en adelante</t>
  </si>
  <si>
    <t>Motos</t>
  </si>
  <si>
    <t xml:space="preserve">                  BAJAJ</t>
  </si>
  <si>
    <t>BAJAJ DOMINAR D400 UG</t>
  </si>
  <si>
    <t xml:space="preserve">                  BENELLI</t>
  </si>
  <si>
    <t>BENELLI LEONCINO 250 ABS</t>
  </si>
  <si>
    <t>BENELLI TNT 302S</t>
  </si>
  <si>
    <t>BENELLI TRK 502</t>
  </si>
  <si>
    <t>BENELLI TRK 502 X</t>
  </si>
  <si>
    <t xml:space="preserve">                  Honda </t>
  </si>
  <si>
    <t>HONDA GLH 150CC  + $5.000.000</t>
  </si>
  <si>
    <t>HONDA PCX 160</t>
  </si>
  <si>
    <t>HONDA TORNADO XR 300</t>
  </si>
  <si>
    <t>HONDA TWISTER CB 300F</t>
  </si>
  <si>
    <t>HONDA XR 190CC.  + $3.000.000</t>
  </si>
  <si>
    <t xml:space="preserve">                  SUPER SOCO</t>
  </si>
  <si>
    <t>SUPER SOCO CPX 4000W Eléctrico</t>
  </si>
  <si>
    <t>SUPER SOCO TC MAX 3500W Eléctrico</t>
  </si>
  <si>
    <t xml:space="preserve">                  YAMAHA</t>
  </si>
  <si>
    <t>YAMAHA FZ25</t>
  </si>
  <si>
    <t>20/10/2025 10:35:38</t>
  </si>
  <si>
    <t>Página 1 de 1</t>
  </si>
  <si>
    <t>Derecho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</si>
</sst>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6" formatCode="\$0"/>
  </numFmts>
  <fonts count="9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24"/>
      <color rgb="FFFFFFFF"/>
      <name val="Arial"/>
      <family val="2"/>
    </font>
    <font>
      <b/>
      <sz val="9"/>
      <color rgb="FF006F53"/>
      <name val="Arial"/>
      <family val="2"/>
    </font>
    <font>
      <sz val="9"/>
      <color rgb="FF006F53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4046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F53"/>
      </patternFill>
    </fill>
    <fill>
      <patternFill patternType="solid">
        <fgColor rgb="FF3F937E"/>
      </patternFill>
    </fill>
  </fills>
  <borders count="2">
    <border>
      <left/>
      <right/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top" wrapText="1" shrinkToFit="1" readingOrder="1"/>
    </xf>
    <xf numFmtId="0" fontId="5" fillId="3" borderId="0" xfId="0" applyFont="1" applyFill="1" applyAlignment="1">
      <alignment horizontal="center" vertical="center" wrapText="1" shrinkToFit="1" readingOrder="1"/>
    </xf>
    <xf numFmtId="0" fontId="5" fillId="3" borderId="1" xfId="0" applyFont="1" applyFill="1" applyBorder="1" applyAlignment="1">
      <alignment horizontal="center" vertical="center" wrapText="1" shrinkToFit="1" readingOrder="1"/>
    </xf>
    <xf numFmtId="49" fontId="5" fillId="3" borderId="1" xfId="0" applyNumberFormat="1" applyFont="1" applyFill="1" applyBorder="1" applyAlignment="1">
      <alignment horizontal="center" vertical="center" wrapText="1" shrinkToFit="1" readingOrder="1"/>
    </xf>
    <xf numFmtId="0" fontId="7" fillId="0" borderId="0" xfId="0" applyFont="1" applyAlignment="1">
      <alignment horizontal="left" vertical="center" wrapText="1" shrinkToFit="1" readingOrder="1"/>
    </xf>
    <xf numFmtId="4" fontId="7" fillId="0" borderId="0" xfId="0" applyNumberFormat="1" applyFont="1" applyAlignment="1">
      <alignment horizontal="right" vertical="center" wrapText="1" shrinkToFit="1" readingOrder="1"/>
    </xf>
    <xf numFmtId="164" fontId="7" fillId="0" borderId="0" xfId="0" applyNumberFormat="1" applyFont="1" applyAlignment="1">
      <alignment horizontal="right" vertical="center" wrapText="1" shrinkToFit="1" readingOrder="1"/>
    </xf>
    <xf numFmtId="0" fontId="1" fillId="2" borderId="0" xfId="0" applyFont="1" applyFill="1" applyAlignment="1">
      <alignment horizontal="left" vertical="top" wrapText="1" shrinkToFit="1" readingOrder="1"/>
    </xf>
    <xf numFmtId="0" fontId="2" fillId="2" borderId="0" xfId="0" applyFont="1" applyFill="1" applyAlignment="1">
      <alignment horizontal="right" vertical="center" wrapText="1" shrinkToFit="1" readingOrder="1"/>
    </xf>
    <xf numFmtId="49" fontId="3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5" fillId="2" borderId="0" xfId="0" applyFont="1" applyFill="1" applyAlignment="1">
      <alignment horizontal="center" vertical="center" wrapText="1" shrinkToFit="1" readingOrder="1"/>
    </xf>
    <xf numFmtId="0" fontId="5" fillId="2" borderId="1" xfId="0" applyFont="1" applyFill="1" applyBorder="1" applyAlignment="1">
      <alignment horizontal="center" vertical="center" wrapText="1" shrinkToFit="1" readingOrder="1"/>
    </xf>
    <xf numFmtId="0" fontId="5" fillId="3" borderId="1" xfId="0" applyFont="1" applyFill="1" applyBorder="1" applyAlignment="1">
      <alignment horizontal="center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164" fontId="7" fillId="0" borderId="0" xfId="0" applyNumberFormat="1" applyFont="1" applyAlignment="1">
      <alignment horizontal="right" vertical="center" wrapText="1" shrinkToFit="1" readingOrder="1"/>
    </xf>
    <xf numFmtId="0" fontId="7" fillId="0" borderId="0" xfId="0" applyFont="1" applyAlignment="1">
      <alignment horizontal="left" vertical="top" wrapText="1" shrinkToFit="1" readingOrder="1"/>
    </xf>
    <xf numFmtId="49" fontId="8" fillId="0" borderId="0" xfId="0" applyNumberFormat="1" applyFont="1" applyAlignment="1">
      <alignment horizontal="left" vertical="top" wrapText="1" shrinkToFit="1" readingOrder="1"/>
    </xf>
    <xf numFmtId="49" fontId="8" fillId="0" borderId="0" xfId="0" applyNumberFormat="1" applyFont="1" applyAlignment="1">
      <alignment horizontal="right" vertical="top" wrapText="1" shrinkToFit="1" readingOrder="1"/>
    </xf>
    <xf numFmtId="166" fontId="7" fillId="0" borderId="0" xfId="0" applyNumberFormat="1" applyFont="1" applyAlignment="1">
      <alignment horizontal="right" vertical="center" wrapText="1" shrinkToFit="1" readingOrder="1"/>
    </xf>
    <xf numFmtId="49" fontId="3" fillId="0" borderId="0" xfId="0" applyNumberFormat="1" applyFont="1" applyBorder="1" applyAlignment="1">
      <alignment horizontal="center" vertical="center" wrapText="1" shrinkToFit="1" readingOrder="1"/>
    </xf>
    <xf numFmtId="49" fontId="6" fillId="2" borderId="0" xfId="0" applyNumberFormat="1" applyFont="1" applyFill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38100</xdr:rowOff>
    </xdr:from>
    <xdr:to>
      <xdr:col>12</xdr:col>
      <xdr:colOff>133350</xdr:colOff>
      <xdr:row>30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prstGeom prst="line">
          <a:avLst/>
        </a:prstGeom>
        <a:ln w="4762" algn="in">
          <a:solidFill>
            <a:srgbClr val="80808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32"/>
  <sheetViews>
    <sheetView showGridLines="0" tabSelected="1" workbookViewId="0">
      <selection activeCell="Q11" sqref="Q11"/>
    </sheetView>
  </sheetViews>
  <sheetFormatPr baseColWidth="10" defaultRowHeight="14.5" x14ac:dyDescent="0.35"/>
  <cols>
    <col min="1" max="1" width="0.81640625" customWidth="1"/>
    <col min="2" max="2" width="1.81640625" customWidth="1"/>
    <col min="3" max="3" width="10.54296875" customWidth="1"/>
    <col min="4" max="4" width="3" customWidth="1"/>
    <col min="5" max="5" width="7" customWidth="1"/>
    <col min="6" max="6" width="23.81640625" customWidth="1"/>
    <col min="7" max="7" width="8.81640625" customWidth="1"/>
    <col min="8" max="8" width="13.453125" customWidth="1"/>
    <col min="9" max="9" width="6.26953125" customWidth="1"/>
    <col min="10" max="10" width="8" customWidth="1"/>
    <col min="11" max="11" width="13.7265625" customWidth="1"/>
    <col min="12" max="12" width="13.08984375" customWidth="1"/>
    <col min="13" max="13" width="11.453125" customWidth="1"/>
    <col min="14" max="14" width="0.81640625" customWidth="1"/>
  </cols>
  <sheetData>
    <row r="1" spans="1:14" ht="6" customHeigh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"/>
    </row>
    <row r="2" spans="1:14" ht="27.75" customHeight="1" x14ac:dyDescent="0.3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"/>
    </row>
    <row r="3" spans="1:14" ht="6" customHeigh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"/>
    </row>
    <row r="4" spans="1:14" ht="20.25" customHeight="1" x14ac:dyDescent="0.35">
      <c r="F4" s="10" t="s">
        <v>1</v>
      </c>
      <c r="G4" s="10"/>
      <c r="H4" s="10"/>
      <c r="I4" s="10"/>
      <c r="J4" s="10"/>
      <c r="K4" s="10"/>
      <c r="L4" s="10"/>
    </row>
    <row r="5" spans="1:14" ht="20.25" customHeight="1" x14ac:dyDescent="0.35">
      <c r="C5" s="11" t="s">
        <v>2</v>
      </c>
      <c r="D5" s="11"/>
      <c r="E5" s="11"/>
      <c r="F5" s="11"/>
      <c r="I5" s="12" t="s">
        <v>3</v>
      </c>
      <c r="J5" s="12"/>
      <c r="K5" s="13" t="s">
        <v>4</v>
      </c>
      <c r="L5" s="13"/>
    </row>
    <row r="6" spans="1:14" ht="2.25" customHeight="1" x14ac:dyDescent="0.35"/>
    <row r="7" spans="1:14" ht="20.25" customHeight="1" x14ac:dyDescent="0.35">
      <c r="C7" s="2" t="s">
        <v>5</v>
      </c>
      <c r="D7" s="14" t="s">
        <v>6</v>
      </c>
      <c r="E7" s="14"/>
      <c r="F7" s="14"/>
      <c r="G7" s="14"/>
      <c r="H7" s="3" t="s">
        <v>7</v>
      </c>
      <c r="I7" s="14" t="s">
        <v>8</v>
      </c>
      <c r="J7" s="14"/>
      <c r="K7" s="4" t="s">
        <v>9</v>
      </c>
      <c r="L7" s="4" t="s">
        <v>10</v>
      </c>
      <c r="M7" s="3" t="s">
        <v>32</v>
      </c>
    </row>
    <row r="8" spans="1:14" ht="2.25" customHeight="1" x14ac:dyDescent="0.35"/>
    <row r="9" spans="1:14" ht="14.25" customHeight="1" x14ac:dyDescent="0.35">
      <c r="C9" s="22" t="s">
        <v>11</v>
      </c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4" ht="13.5" customHeight="1" x14ac:dyDescent="0.35">
      <c r="C10" s="21" t="s">
        <v>12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4" ht="14.25" customHeight="1" x14ac:dyDescent="0.35">
      <c r="C11" s="5">
        <v>16355</v>
      </c>
      <c r="D11" s="15" t="s">
        <v>13</v>
      </c>
      <c r="E11" s="15"/>
      <c r="F11" s="15"/>
      <c r="G11" s="15"/>
      <c r="H11" s="6">
        <v>16290000</v>
      </c>
      <c r="I11" s="16">
        <v>79876.451159999997</v>
      </c>
      <c r="J11" s="16"/>
      <c r="K11" s="7">
        <v>79515.204119999995</v>
      </c>
      <c r="L11" s="7">
        <v>53757</v>
      </c>
      <c r="M11" s="20">
        <f>(H11*1.452%)*1.1</f>
        <v>260183.88</v>
      </c>
    </row>
    <row r="12" spans="1:14" ht="14.25" customHeight="1" x14ac:dyDescent="0.35">
      <c r="C12" s="21" t="s">
        <v>14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4" ht="14.25" customHeight="1" x14ac:dyDescent="0.35">
      <c r="C13" s="5">
        <v>21433</v>
      </c>
      <c r="D13" s="15" t="s">
        <v>15</v>
      </c>
      <c r="E13" s="15"/>
      <c r="F13" s="15"/>
      <c r="G13" s="15"/>
      <c r="H13" s="6">
        <v>14450000</v>
      </c>
      <c r="I13" s="16">
        <v>70854.1878</v>
      </c>
      <c r="J13" s="16"/>
      <c r="K13" s="7">
        <v>70533.744600000005</v>
      </c>
      <c r="L13" s="7">
        <v>47685</v>
      </c>
      <c r="M13" s="20">
        <f t="shared" ref="M12:M27" si="0">(H13*1.452%)*1.1</f>
        <v>230795.40000000002</v>
      </c>
    </row>
    <row r="14" spans="1:14" ht="14.25" customHeight="1" x14ac:dyDescent="0.35">
      <c r="C14" s="5">
        <v>22170</v>
      </c>
      <c r="D14" s="15" t="s">
        <v>16</v>
      </c>
      <c r="E14" s="15"/>
      <c r="F14" s="15"/>
      <c r="G14" s="15"/>
      <c r="H14" s="6">
        <v>15650000</v>
      </c>
      <c r="I14" s="16">
        <v>76738.272599999997</v>
      </c>
      <c r="J14" s="16"/>
      <c r="K14" s="7">
        <v>76391.218200000003</v>
      </c>
      <c r="L14" s="7">
        <v>51645</v>
      </c>
      <c r="M14" s="20">
        <f t="shared" si="0"/>
        <v>249961.80000000002</v>
      </c>
    </row>
    <row r="15" spans="1:14" ht="14.25" customHeight="1" x14ac:dyDescent="0.35">
      <c r="C15" s="5">
        <v>16356</v>
      </c>
      <c r="D15" s="15" t="s">
        <v>17</v>
      </c>
      <c r="E15" s="15"/>
      <c r="F15" s="15"/>
      <c r="G15" s="15"/>
      <c r="H15" s="6">
        <v>19480000</v>
      </c>
      <c r="I15" s="16">
        <v>95518.30992</v>
      </c>
      <c r="J15" s="16"/>
      <c r="K15" s="7">
        <v>95086.32144</v>
      </c>
      <c r="L15" s="7">
        <v>64284</v>
      </c>
      <c r="M15" s="20">
        <f t="shared" si="0"/>
        <v>311134.56</v>
      </c>
    </row>
    <row r="16" spans="1:14" ht="14.25" customHeight="1" x14ac:dyDescent="0.35">
      <c r="C16" s="5">
        <v>16357</v>
      </c>
      <c r="D16" s="15" t="s">
        <v>18</v>
      </c>
      <c r="E16" s="15"/>
      <c r="F16" s="15"/>
      <c r="G16" s="15"/>
      <c r="H16" s="6">
        <v>20350000</v>
      </c>
      <c r="I16" s="16">
        <v>99784.271399999998</v>
      </c>
      <c r="J16" s="16"/>
      <c r="K16" s="7">
        <v>99332.989799999996</v>
      </c>
      <c r="L16" s="7">
        <v>67155</v>
      </c>
      <c r="M16" s="20">
        <f t="shared" si="0"/>
        <v>325030.2</v>
      </c>
    </row>
    <row r="17" spans="2:13" ht="14.25" customHeight="1" x14ac:dyDescent="0.35">
      <c r="C17" s="21" t="s">
        <v>19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2:13" ht="14.25" customHeight="1" x14ac:dyDescent="0.35">
      <c r="C18" s="5">
        <v>26435</v>
      </c>
      <c r="D18" s="15" t="s">
        <v>20</v>
      </c>
      <c r="E18" s="15"/>
      <c r="F18" s="15"/>
      <c r="G18" s="15"/>
      <c r="H18" s="6">
        <v>12500000</v>
      </c>
      <c r="I18" s="16">
        <v>61292.55</v>
      </c>
      <c r="J18" s="16"/>
      <c r="K18" s="7">
        <v>61015.35</v>
      </c>
      <c r="L18" s="7">
        <v>41250</v>
      </c>
      <c r="M18" s="20">
        <f t="shared" si="0"/>
        <v>199650.00000000003</v>
      </c>
    </row>
    <row r="19" spans="2:13" ht="13.5" customHeight="1" x14ac:dyDescent="0.35">
      <c r="C19" s="5">
        <v>16353</v>
      </c>
      <c r="D19" s="15" t="s">
        <v>21</v>
      </c>
      <c r="E19" s="15"/>
      <c r="F19" s="15"/>
      <c r="G19" s="15"/>
      <c r="H19" s="6">
        <v>15900000</v>
      </c>
      <c r="I19" s="16">
        <v>77964.123600000006</v>
      </c>
      <c r="J19" s="16"/>
      <c r="K19" s="7">
        <v>77611.525200000004</v>
      </c>
      <c r="L19" s="7">
        <v>52470</v>
      </c>
      <c r="M19" s="20">
        <f t="shared" si="0"/>
        <v>253954.80000000002</v>
      </c>
    </row>
    <row r="20" spans="2:13" ht="14.25" customHeight="1" x14ac:dyDescent="0.35">
      <c r="C20" s="5">
        <v>34059</v>
      </c>
      <c r="D20" s="15" t="s">
        <v>22</v>
      </c>
      <c r="E20" s="15"/>
      <c r="F20" s="15"/>
      <c r="G20" s="15"/>
      <c r="H20" s="6">
        <v>14650000</v>
      </c>
      <c r="I20" s="16">
        <v>71834.868600000002</v>
      </c>
      <c r="J20" s="16"/>
      <c r="K20" s="7">
        <v>71509.9902</v>
      </c>
      <c r="L20" s="7">
        <v>48345</v>
      </c>
      <c r="M20" s="20">
        <f t="shared" si="0"/>
        <v>233989.80000000002</v>
      </c>
    </row>
    <row r="21" spans="2:13" ht="14.25" customHeight="1" x14ac:dyDescent="0.35">
      <c r="C21" s="5">
        <v>23640</v>
      </c>
      <c r="D21" s="15" t="s">
        <v>23</v>
      </c>
      <c r="E21" s="15"/>
      <c r="F21" s="15"/>
      <c r="G21" s="15"/>
      <c r="H21" s="6">
        <v>14250000</v>
      </c>
      <c r="I21" s="16">
        <v>69873.506999999998</v>
      </c>
      <c r="J21" s="16"/>
      <c r="K21" s="7">
        <v>69557.498999999996</v>
      </c>
      <c r="L21" s="7">
        <v>47025</v>
      </c>
      <c r="M21" s="20">
        <f t="shared" si="0"/>
        <v>227601.00000000003</v>
      </c>
    </row>
    <row r="22" spans="2:13" ht="14.25" customHeight="1" x14ac:dyDescent="0.35">
      <c r="C22" s="5">
        <v>26433</v>
      </c>
      <c r="D22" s="15" t="s">
        <v>24</v>
      </c>
      <c r="E22" s="15"/>
      <c r="F22" s="15"/>
      <c r="G22" s="15"/>
      <c r="H22" s="6">
        <v>11900000</v>
      </c>
      <c r="I22" s="16">
        <v>58350.507599999997</v>
      </c>
      <c r="J22" s="16"/>
      <c r="K22" s="7">
        <v>58086.6132</v>
      </c>
      <c r="L22" s="7">
        <v>39270</v>
      </c>
      <c r="M22" s="20">
        <f t="shared" si="0"/>
        <v>190066.80000000002</v>
      </c>
    </row>
    <row r="23" spans="2:13" ht="14.25" customHeight="1" x14ac:dyDescent="0.35">
      <c r="C23" s="21" t="s">
        <v>25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2:13" ht="14.25" customHeight="1" x14ac:dyDescent="0.35">
      <c r="C24" s="5">
        <v>23949</v>
      </c>
      <c r="D24" s="15" t="s">
        <v>26</v>
      </c>
      <c r="E24" s="15"/>
      <c r="F24" s="15"/>
      <c r="G24" s="15"/>
      <c r="H24" s="6">
        <v>16900000</v>
      </c>
      <c r="I24" s="16">
        <v>82867.527600000001</v>
      </c>
      <c r="J24" s="16"/>
      <c r="K24" s="7">
        <v>82492.753200000006</v>
      </c>
      <c r="L24" s="7">
        <v>55770</v>
      </c>
      <c r="M24" s="20">
        <f t="shared" si="0"/>
        <v>269926.80000000005</v>
      </c>
    </row>
    <row r="25" spans="2:13" ht="14.25" customHeight="1" x14ac:dyDescent="0.35">
      <c r="C25" s="5">
        <v>23948</v>
      </c>
      <c r="D25" s="15" t="s">
        <v>27</v>
      </c>
      <c r="E25" s="15"/>
      <c r="F25" s="15"/>
      <c r="G25" s="15"/>
      <c r="H25" s="6">
        <v>14900000</v>
      </c>
      <c r="I25" s="16">
        <v>73060.719599999997</v>
      </c>
      <c r="J25" s="16"/>
      <c r="K25" s="7">
        <v>72730.297200000001</v>
      </c>
      <c r="L25" s="7">
        <v>49170</v>
      </c>
      <c r="M25" s="20">
        <f t="shared" si="0"/>
        <v>237982.80000000002</v>
      </c>
    </row>
    <row r="26" spans="2:13" ht="14.25" customHeight="1" x14ac:dyDescent="0.35">
      <c r="C26" s="21" t="s">
        <v>28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2:13" ht="14.25" customHeight="1" x14ac:dyDescent="0.35">
      <c r="C27" s="5">
        <v>16354</v>
      </c>
      <c r="D27" s="15" t="s">
        <v>29</v>
      </c>
      <c r="E27" s="15"/>
      <c r="F27" s="15"/>
      <c r="G27" s="15"/>
      <c r="H27" s="6">
        <v>12290000</v>
      </c>
      <c r="I27" s="16">
        <v>60262.835160000002</v>
      </c>
      <c r="J27" s="16"/>
      <c r="K27" s="7">
        <v>59990.292119999998</v>
      </c>
      <c r="L27" s="7">
        <v>40557</v>
      </c>
      <c r="M27" s="20">
        <f t="shared" si="0"/>
        <v>196295.88</v>
      </c>
    </row>
    <row r="28" spans="2:13" ht="3.75" customHeight="1" x14ac:dyDescent="0.35"/>
    <row r="29" spans="2:13" ht="20.25" customHeight="1" x14ac:dyDescent="0.35"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2:13" ht="3.75" customHeight="1" x14ac:dyDescent="0.35"/>
    <row r="31" spans="2:13" ht="5.25" customHeight="1" x14ac:dyDescent="0.35"/>
    <row r="32" spans="2:13" ht="15.75" customHeight="1" x14ac:dyDescent="0.35">
      <c r="B32" s="18" t="s">
        <v>30</v>
      </c>
      <c r="C32" s="18"/>
      <c r="D32" s="18"/>
      <c r="J32" s="19" t="s">
        <v>31</v>
      </c>
      <c r="K32" s="19"/>
      <c r="L32" s="19"/>
      <c r="M32" s="19"/>
    </row>
  </sheetData>
  <mergeCells count="44">
    <mergeCell ref="D27:G27"/>
    <mergeCell ref="I27:J27"/>
    <mergeCell ref="C29:L29"/>
    <mergeCell ref="B32:D32"/>
    <mergeCell ref="J32:M32"/>
    <mergeCell ref="D24:G24"/>
    <mergeCell ref="I24:J24"/>
    <mergeCell ref="D25:G25"/>
    <mergeCell ref="I25:J25"/>
    <mergeCell ref="C26:M26"/>
    <mergeCell ref="D21:G21"/>
    <mergeCell ref="I21:J21"/>
    <mergeCell ref="D22:G22"/>
    <mergeCell ref="I22:J22"/>
    <mergeCell ref="C23:M23"/>
    <mergeCell ref="D18:G18"/>
    <mergeCell ref="I18:J18"/>
    <mergeCell ref="D19:G19"/>
    <mergeCell ref="I19:J19"/>
    <mergeCell ref="D20:G20"/>
    <mergeCell ref="I20:J20"/>
    <mergeCell ref="D15:G15"/>
    <mergeCell ref="I15:J15"/>
    <mergeCell ref="D16:G16"/>
    <mergeCell ref="I16:J16"/>
    <mergeCell ref="C17:M17"/>
    <mergeCell ref="D13:G13"/>
    <mergeCell ref="I13:J13"/>
    <mergeCell ref="D14:G14"/>
    <mergeCell ref="I14:J14"/>
    <mergeCell ref="C12:M12"/>
    <mergeCell ref="D7:G7"/>
    <mergeCell ref="I7:J7"/>
    <mergeCell ref="D11:G11"/>
    <mergeCell ref="I11:J11"/>
    <mergeCell ref="C10:M10"/>
    <mergeCell ref="C9:M9"/>
    <mergeCell ref="A1:M1"/>
    <mergeCell ref="A2:M2"/>
    <mergeCell ref="A3:M3"/>
    <mergeCell ref="F4:L4"/>
    <mergeCell ref="C5:F5"/>
    <mergeCell ref="I5:J5"/>
    <mergeCell ref="K5:L5"/>
  </mergeCells>
  <pageMargins left="0" right="0" top="0" bottom="0.28999999165534973" header="0.3" footer="0.3"/>
  <pageSetup paperSize="7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Peralta</dc:creator>
  <cp:lastModifiedBy>Peralta, Jesus David</cp:lastModifiedBy>
  <dcterms:created xsi:type="dcterms:W3CDTF">2025-10-21T01:35:38Z</dcterms:created>
  <dcterms:modified xsi:type="dcterms:W3CDTF">2025-10-21T01:37:30Z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19.2.13.0</vt:lpwstr>
  </property>
</Properties>
</file>